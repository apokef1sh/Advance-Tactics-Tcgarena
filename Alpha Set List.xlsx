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poke\Desktop\Advance!Tactics\Advance-Tactics-Tcgarena\"/>
    </mc:Choice>
  </mc:AlternateContent>
  <xr:revisionPtr revIDLastSave="0" documentId="8_{47DCAE94-7B1A-49FD-BF75-7ADC8598953D}" xr6:coauthVersionLast="47" xr6:coauthVersionMax="47" xr10:uidLastSave="{00000000-0000-0000-0000-000000000000}"/>
  <bookViews>
    <workbookView xWindow="-120" yWindow="-120" windowWidth="29040" windowHeight="15990" activeTab="1" xr2:uid="{CA094A51-376D-41C2-95CA-6278B694BA34}"/>
  </bookViews>
  <sheets>
    <sheet name="Set1 - Alpha" sheetId="1" r:id="rId1"/>
    <sheet name="Set 2" sheetId="5" r:id="rId2"/>
    <sheet name="Sheet1" sheetId="4" r:id="rId3"/>
    <sheet name="Extended Set List" sheetId="2" r:id="rId4"/>
    <sheet name="PreconLists" sheetId="3" r:id="rId5"/>
  </sheets>
  <definedNames>
    <definedName name="_xlnm._FilterDatabase" localSheetId="3" hidden="1">'Extended Set List'!$A$69:$K$69</definedName>
    <definedName name="_xlnm._FilterDatabase" localSheetId="0" hidden="1">'Set1 - Alpha'!$A$69:$K$69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3" l="1"/>
  <c r="F3" i="3"/>
  <c r="P5" i="1"/>
  <c r="P4" i="1"/>
  <c r="P3" i="1"/>
  <c r="P2" i="1"/>
</calcChain>
</file>

<file path=xl/sharedStrings.xml><?xml version="1.0" encoding="utf-8"?>
<sst xmlns="http://schemas.openxmlformats.org/spreadsheetml/2006/main" count="1378" uniqueCount="434">
  <si>
    <t>Card Name</t>
  </si>
  <si>
    <t>Align</t>
  </si>
  <si>
    <t>Type</t>
  </si>
  <si>
    <t>Spd</t>
  </si>
  <si>
    <t>Cost</t>
  </si>
  <si>
    <t>Num/Ft</t>
  </si>
  <si>
    <t>Race</t>
  </si>
  <si>
    <t>Class</t>
  </si>
  <si>
    <t>Power</t>
  </si>
  <si>
    <t>Def</t>
  </si>
  <si>
    <t>Effects</t>
  </si>
  <si>
    <t>Rarity</t>
  </si>
  <si>
    <t>Art Status</t>
  </si>
  <si>
    <t>Artist</t>
  </si>
  <si>
    <t>Ancient Knowledge</t>
  </si>
  <si>
    <t>Command</t>
  </si>
  <si>
    <t>Quick</t>
  </si>
  <si>
    <t>IAA</t>
  </si>
  <si>
    <t>Spell</t>
  </si>
  <si>
    <t>Draw 4 cards.</t>
  </si>
  <si>
    <t>Uncommon</t>
  </si>
  <si>
    <t>Ants Insatiable</t>
  </si>
  <si>
    <t>Ruthless</t>
  </si>
  <si>
    <t>Army</t>
  </si>
  <si>
    <t>Normal</t>
  </si>
  <si>
    <t>FFF</t>
  </si>
  <si>
    <t>Insect</t>
  </si>
  <si>
    <t>Warriors</t>
  </si>
  <si>
    <t>Static: When this unit deals undefended damage, put that many +1Pow counters on it.</t>
  </si>
  <si>
    <t>Rare</t>
  </si>
  <si>
    <t>Architect's Guild</t>
  </si>
  <si>
    <t>Structure</t>
  </si>
  <si>
    <t>SSWW</t>
  </si>
  <si>
    <t>Building</t>
  </si>
  <si>
    <t>Activate(WW/SS): Put a Building from your hand onto the field in any tile you could normally play one.</t>
  </si>
  <si>
    <t>Common</t>
  </si>
  <si>
    <t>Architects of Palador</t>
  </si>
  <si>
    <t>SWF</t>
  </si>
  <si>
    <t>Human</t>
  </si>
  <si>
    <t>Architects</t>
  </si>
  <si>
    <t>Enter: Excavate for a Building card. Put that card into your hand.</t>
  </si>
  <si>
    <t>Army of Mandibles</t>
  </si>
  <si>
    <t>SF</t>
  </si>
  <si>
    <t>X</t>
  </si>
  <si>
    <t>Static: This unit's power is equal to half its numbers, rounded down.</t>
  </si>
  <si>
    <t>Ball of Fire</t>
  </si>
  <si>
    <t>Rapid</t>
  </si>
  <si>
    <t>WA</t>
  </si>
  <si>
    <t>Deal 6 true damage to each unit on a chosen tile. Deal 4 true damage to each unit on each tile one orthoginal tile away  from the chosen tile.</t>
  </si>
  <si>
    <t>Black Colony Guards</t>
  </si>
  <si>
    <t>WF</t>
  </si>
  <si>
    <t>Static: This unit's power is equal the number of your combatants on the field.</t>
  </si>
  <si>
    <t>Callous Kobolds</t>
  </si>
  <si>
    <t>Kobold</t>
  </si>
  <si>
    <t xml:space="preserve">Static: This unit can advance while engaged. </t>
  </si>
  <si>
    <t>Castle of New Beginnings</t>
  </si>
  <si>
    <t>Castle</t>
  </si>
  <si>
    <t>Crafty Kobolds</t>
  </si>
  <si>
    <t>Cunning</t>
  </si>
  <si>
    <t>SWI</t>
  </si>
  <si>
    <t>Static: Your other armies within 1 orthoginal tile of this card have +3 Power and +1 Defense.</t>
  </si>
  <si>
    <t>Crooked Coinswipes</t>
  </si>
  <si>
    <t>Chaotic</t>
  </si>
  <si>
    <t>F</t>
  </si>
  <si>
    <t>Goblin</t>
  </si>
  <si>
    <t>Criminals</t>
  </si>
  <si>
    <t>Post-Battle: One random resource in your opponent's reserves decays. Produce a resource of the same type.</t>
  </si>
  <si>
    <t>Dark Cultists</t>
  </si>
  <si>
    <t>IA</t>
  </si>
  <si>
    <t>Mages</t>
  </si>
  <si>
    <t>Activate(Sacrifice an Army): This unit gets +1 Power</t>
  </si>
  <si>
    <t>Dig Deeper</t>
  </si>
  <si>
    <t>Produce a resource that shares a type with a resource tile you control.</t>
  </si>
  <si>
    <t>Dung-Beetle Scavengers</t>
  </si>
  <si>
    <t>Scavengers</t>
  </si>
  <si>
    <t>Produce(You have no other units): Two Food</t>
  </si>
  <si>
    <t>Earthquake</t>
  </si>
  <si>
    <t>AA</t>
  </si>
  <si>
    <t>A chosen structure falls.</t>
  </si>
  <si>
    <t>Elaizha, Petromancer</t>
  </si>
  <si>
    <t>Champion</t>
  </si>
  <si>
    <t>SSA</t>
  </si>
  <si>
    <t>Elaizha</t>
  </si>
  <si>
    <t>Command(S): Deal damage to target unit equal to this unit's power.
Command(S): This unit has +10Def until end of turn. You can only activate this ability once per turn.</t>
  </si>
  <si>
    <t>Secret Rare</t>
  </si>
  <si>
    <t>Enhanced Managolems</t>
  </si>
  <si>
    <t>SCA</t>
  </si>
  <si>
    <t>Golem</t>
  </si>
  <si>
    <t>Finished</t>
  </si>
  <si>
    <t>Chuck Carr</t>
  </si>
  <si>
    <t>Espionage</t>
  </si>
  <si>
    <t>FI</t>
  </si>
  <si>
    <t>Choose an opponent and look at their hand. They discard 1 chosen card.</t>
  </si>
  <si>
    <t>Evhan of the Kobold Legion</t>
  </si>
  <si>
    <t>SWMM</t>
  </si>
  <si>
    <t>Evhan</t>
  </si>
  <si>
    <t>Command(Destroy a Kobold): Deal true damage equal to the destroyed Kobold's power to all units on it's previously occupied tile and all castles it was on the backlines of.</t>
  </si>
  <si>
    <t>Evhan's Wall of Panic</t>
  </si>
  <si>
    <t>SMA</t>
  </si>
  <si>
    <t>Defenses</t>
  </si>
  <si>
    <t>Trigger: Flip 2 coins. If either are tails, triggering unit moves backwards 1 tile.</t>
  </si>
  <si>
    <t>Outlined</t>
  </si>
  <si>
    <t>Exhaustive Research</t>
  </si>
  <si>
    <t>I</t>
  </si>
  <si>
    <t>Discard a card, then draw 2 cards.</t>
  </si>
  <si>
    <t>Factory Units</t>
  </si>
  <si>
    <t>M</t>
  </si>
  <si>
    <t>Clanker</t>
  </si>
  <si>
    <t>Workers</t>
  </si>
  <si>
    <t>Produce: One Metal</t>
  </si>
  <si>
    <t>Farm</t>
  </si>
  <si>
    <t>WI</t>
  </si>
  <si>
    <t>Produce: One Food
Static: Occupied tile is a Food resource tile.
Cannot be built on your backlines.</t>
  </si>
  <si>
    <t>Gnawing Valkyries</t>
  </si>
  <si>
    <t>WIF</t>
  </si>
  <si>
    <t>Static: Cannot be engaged by units on the occupied tile.</t>
  </si>
  <si>
    <t>Goblin Chief Bucas</t>
  </si>
  <si>
    <t>SFM</t>
  </si>
  <si>
    <t>Bucas</t>
  </si>
  <si>
    <t>Static: Once per turn, when one of your Goblins advances, you may have it advance again.
Static: The first time one of your Goblins would take damage each turn, it instead moves one lane to the right or left, chosen at random.</t>
  </si>
  <si>
    <t>Goblin Giants</t>
  </si>
  <si>
    <t>SIF</t>
  </si>
  <si>
    <t>Goblin Prospectors</t>
  </si>
  <si>
    <t>Peasants</t>
  </si>
  <si>
    <t>Static: The tile occupied by this card is a Stone Resource tile.</t>
  </si>
  <si>
    <t>Goblin Vanguard</t>
  </si>
  <si>
    <t>Static: Your other goblin units have +1 power.</t>
  </si>
  <si>
    <t>Harbinger of Death</t>
  </si>
  <si>
    <t>ICCAA</t>
  </si>
  <si>
    <t>God</t>
  </si>
  <si>
    <t>Harbinger</t>
  </si>
  <si>
    <t>End: Each other unit within one tile of this unit loses 5kNum/5Ftt.</t>
  </si>
  <si>
    <t>Heroic Battalion</t>
  </si>
  <si>
    <t>Righteous</t>
  </si>
  <si>
    <t>SFFF</t>
  </si>
  <si>
    <t>Static: If this unit is engaging a Ruthless unit, it has +1 Power.</t>
  </si>
  <si>
    <t>John Kaboom</t>
  </si>
  <si>
    <t>WWII</t>
  </si>
  <si>
    <t>Kaboom</t>
  </si>
  <si>
    <t>Post-Battle: Deal 6 damage to each other unit within 1 orthoginal tile and each unit with a Bomb counter on it. Remove all Bomb counters from all units.
Activate: Put a Bomb counter on a unit on the occupied tile.</t>
  </si>
  <si>
    <t>King of the Pride</t>
  </si>
  <si>
    <t>IIF</t>
  </si>
  <si>
    <t>Feline</t>
  </si>
  <si>
    <t>Static: Your Felines have +2Pow if they advanced this turn.
End: If it's your turn, you may have up to 2 Felines advance.</t>
  </si>
  <si>
    <t>Kobold Contraptionists</t>
  </si>
  <si>
    <t>Activate(W): Create a Structure with 1Ft/0Def named Trebuchet on this tile with "Command: One combatant on this tile moves up to 2 tiles forward."</t>
  </si>
  <si>
    <t>Chuck Carr, Evan Hirt</t>
  </si>
  <si>
    <t>Lioness Errica</t>
  </si>
  <si>
    <t>IFFA</t>
  </si>
  <si>
    <t>Errica</t>
  </si>
  <si>
    <t>Strafe (This unit can advance horizontally)
Static: Your other Felines have Strafe.</t>
  </si>
  <si>
    <t>Josh Carr</t>
  </si>
  <si>
    <t>Loot the Bodies</t>
  </si>
  <si>
    <t>Can only be played after the combat step.
If any of your units felled a combatant this turn, draw two cards.</t>
  </si>
  <si>
    <t>Mages of Palador</t>
  </si>
  <si>
    <t>Range 1
Static: Has +1 Power and +1 Defense for each Mana in your Reserves.</t>
  </si>
  <si>
    <t>Mana Well</t>
  </si>
  <si>
    <t>SW</t>
  </si>
  <si>
    <t>Produce: One mana if there are no combatants on this tile. Otherwise, Two Mana</t>
  </si>
  <si>
    <t>Mud-Spitters</t>
  </si>
  <si>
    <t>SFF</t>
  </si>
  <si>
    <t>Rangers</t>
  </si>
  <si>
    <t>Range 2</t>
  </si>
  <si>
    <t>In Progress</t>
  </si>
  <si>
    <t>Ryan Chalmers</t>
  </si>
  <si>
    <t>Obscured in Smog</t>
  </si>
  <si>
    <t>W</t>
  </si>
  <si>
    <t>A chosen unit gets -3Pow/-1Def until end of turn.</t>
  </si>
  <si>
    <t>Palador Elites</t>
  </si>
  <si>
    <t xml:space="preserve">Normal </t>
  </si>
  <si>
    <t>IFM</t>
  </si>
  <si>
    <t>Palador Frontliners</t>
  </si>
  <si>
    <t>Static: If this unit is behind another friendly combatant, this unit advances.</t>
  </si>
  <si>
    <t xml:space="preserve">Palador Knights </t>
  </si>
  <si>
    <t>IF</t>
  </si>
  <si>
    <t>Palador Library</t>
  </si>
  <si>
    <t>WII</t>
  </si>
  <si>
    <t>Activate: Draw 1 card.</t>
  </si>
  <si>
    <t>Palador Mage Guild</t>
  </si>
  <si>
    <t>SWFC</t>
  </si>
  <si>
    <t>Produce: One Mana
Static: Your other Mage units have +1 Power and +1 Defense.
Activate: One of your mage units gains 2k numbers.</t>
  </si>
  <si>
    <t>Pillars of Flame</t>
  </si>
  <si>
    <t>WAA</t>
  </si>
  <si>
    <t xml:space="preserve">Choose a lane. Deal 8 damage to each unit in that lane. </t>
  </si>
  <si>
    <t>Ramshackle Cavalry</t>
  </si>
  <si>
    <t>Activate: If unengaged, this unit advances.</t>
  </si>
  <si>
    <t>Reckless Arsonists</t>
  </si>
  <si>
    <t>Static: Tiles within 1 orthoginal tile of this card have no resource type.</t>
  </si>
  <si>
    <t>Recyclists of the Muck</t>
  </si>
  <si>
    <t>Activate(?): Produce a resource of any basic resource type.</t>
  </si>
  <si>
    <t>Repurposed Battering Ram</t>
  </si>
  <si>
    <t>Trap</t>
  </si>
  <si>
    <t>Hidden
Trigger: Flip this card face up. Deal 6 damage to each combatant within 2 tiles forward. Produce a Wood, then this unit falls.</t>
  </si>
  <si>
    <t>Retreat</t>
  </si>
  <si>
    <t>All of your combatants move back 1 tile.</t>
  </si>
  <si>
    <t>Rhyan, Loyal to the Mound</t>
  </si>
  <si>
    <t>SWFF</t>
  </si>
  <si>
    <t>Rhyan</t>
  </si>
  <si>
    <t>Command(F): Create a Insect Army summon with 5kNum/XPow/2Def and "This unit's power is equal to the number of your Insects on the field" on a horizontally adjacent tile.</t>
  </si>
  <si>
    <t>Ritual of Annihilation</t>
  </si>
  <si>
    <t>CFAAAA</t>
  </si>
  <si>
    <t>Ritual</t>
  </si>
  <si>
    <t>Enter: Put 3 Time counters on this unit.
End(This unit has no time counters on it): For each unit, deal damage equal to their attack to any target, then deal 5 damage to each castle.</t>
  </si>
  <si>
    <t>Rudimentry Archers</t>
  </si>
  <si>
    <t>Range 1</t>
  </si>
  <si>
    <t>Savannah Cheetahs</t>
  </si>
  <si>
    <t>Static: The first time this unit advances, it advances 2 more times, then put 3 Time counters on this unit. This unit can't advance while it has Time counters on it.</t>
  </si>
  <si>
    <t>Sawmill</t>
  </si>
  <si>
    <t>Produce: One Wood
Produce(Occupied tile has a Wood resource type):One Wood</t>
  </si>
  <si>
    <t>Scavenging Kobolds</t>
  </si>
  <si>
    <t>Produce: One resource of a type of occupied tile.</t>
  </si>
  <si>
    <t>Sculptor Konor</t>
  </si>
  <si>
    <t>SSC</t>
  </si>
  <si>
    <t>Konor</t>
  </si>
  <si>
    <t>Activate: Create a Golem Army summon with 1kNum/3Pow/7Def on this tile.</t>
  </si>
  <si>
    <t>Sensitive Spike Shooter</t>
  </si>
  <si>
    <t xml:space="preserve">Hidden
Trigger: Flip this card face up. Deal 7 damage to each combatant in an othoganally adjacent tile. </t>
  </si>
  <si>
    <t>Shaloom of the Shroom</t>
  </si>
  <si>
    <t>FA</t>
  </si>
  <si>
    <t>Fungus</t>
  </si>
  <si>
    <t>Shaloom</t>
  </si>
  <si>
    <t>Pre-Battle: Roll a d4. Your castle loses that much fortitude and you produce that much Food.</t>
  </si>
  <si>
    <t xml:space="preserve">Calum </t>
  </si>
  <si>
    <t xml:space="preserve">Smoke Spirit Atascha </t>
  </si>
  <si>
    <t>WW</t>
  </si>
  <si>
    <t>Elemental</t>
  </si>
  <si>
    <t>Atascha</t>
  </si>
  <si>
    <t>Strafe
Static: Other units on this tile have -2 Power and -2 Defense</t>
  </si>
  <si>
    <t>Stash Mound</t>
  </si>
  <si>
    <t>Enter: Put a Time counter on Stash Mound.
Activate(Destroy Stash Mound, No time counters on Stash Mound): Produce 2 Food.</t>
  </si>
  <si>
    <t>Stone Barricades</t>
  </si>
  <si>
    <t>SS</t>
  </si>
  <si>
    <t>Static: Enemy combatants cannot advance forward while on the occupied tile.</t>
  </si>
  <si>
    <t>Stone Legion</t>
  </si>
  <si>
    <t>Stone-Age Clankers</t>
  </si>
  <si>
    <t>Tactical Roll</t>
  </si>
  <si>
    <t>Move one of your combatants one tile horizontally.</t>
  </si>
  <si>
    <t>Taunting Dopes</t>
  </si>
  <si>
    <t>Scouts</t>
  </si>
  <si>
    <t>Static: When this unit advances, combatants within one orthogonal tile move to the occupied tile.</t>
  </si>
  <si>
    <t>Teleportation</t>
  </si>
  <si>
    <t>If this command targets a structure, it costs an additional A.
One chosen unit moves up to 2 tiles orthoganally.</t>
  </si>
  <si>
    <t>Tin Can Clankers</t>
  </si>
  <si>
    <t>SM</t>
  </si>
  <si>
    <t>Static: When one or more of your opponent's resources decay, produce one Metal.</t>
  </si>
  <si>
    <t>Walls of Wind</t>
  </si>
  <si>
    <t>A</t>
  </si>
  <si>
    <t>Walls</t>
  </si>
  <si>
    <t>Static: This unit can advance while engaged.
Post-Advance: Any other units on the tile this unit advanced from are moved to the occupied tile.</t>
  </si>
  <si>
    <t>White Stalkers</t>
  </si>
  <si>
    <t>Static: Enemy combatants within 1 tile of this unit don't advance during their owner's advance step.</t>
  </si>
  <si>
    <t>Young Hunters</t>
  </si>
  <si>
    <t>Produce: One Food
Post-Battle: If this unit felled a unit this turn, it gains +1Pow and +1Def.</t>
  </si>
  <si>
    <t>Zh'Aedinn, in Billowing Smog</t>
  </si>
  <si>
    <t>MMM</t>
  </si>
  <si>
    <t>Zh'Aedinn</t>
  </si>
  <si>
    <t>Produce: One Metal
Command(M): Each of your Clanker units gain +1Pow and +1Def until end of turn.</t>
  </si>
  <si>
    <t>Lore</t>
  </si>
  <si>
    <t>Freaky Fungi</t>
  </si>
  <si>
    <t>Static: You can use Food as though it were Mana to pay for cards and card effects.</t>
  </si>
  <si>
    <t>The Crooked One</t>
  </si>
  <si>
    <t>WIC</t>
  </si>
  <si>
    <t>Crooked One</t>
  </si>
  <si>
    <t>Enter: For each enemy unit, that unit's controller chooses to deal 10 damage to that unit or deal 5 damage to their castle.</t>
  </si>
  <si>
    <t>House-eaters</t>
  </si>
  <si>
    <t>Static: If the occupied tile contains a Building, this unit gains numbers equal to the Building's defense, then building falls.</t>
  </si>
  <si>
    <t>Brainwash</t>
  </si>
  <si>
    <t>CA</t>
  </si>
  <si>
    <t>Choose a combatant. Gain control of that combatant and change it's direction.</t>
  </si>
  <si>
    <t>Scattershot Sentry</t>
  </si>
  <si>
    <t>Pre-Combat: Deal 5 damage to each enemy unit one tile forward. If you do, deal 3 damage to each enemy unit within one tile horizontally 2 tiles forward.</t>
  </si>
  <si>
    <t>Feisty Grapplers</t>
  </si>
  <si>
    <t>Range 1
Post-Battle: This unit moves to a tile occupied by a unit it battled this turn.</t>
  </si>
  <si>
    <t>Skittish Kobolds</t>
  </si>
  <si>
    <t>Trigger: This unit moves to a random orthoginal tile.</t>
  </si>
  <si>
    <t>Bombardier Beetles</t>
  </si>
  <si>
    <t>Bombers</t>
  </si>
  <si>
    <t>Command(F): This unit deals 5 damage to a chosen enemy unit, then deals 2 damage to each other unit within 1 orthoginal tile of the chosen unit.</t>
  </si>
  <si>
    <t>Queen of the Hive</t>
  </si>
  <si>
    <t>Hive Queen</t>
  </si>
  <si>
    <t>Static: Other Insects you own have +X Power, where X is the number of Insects you control.
Activate(F): Create a 10kNum/1Power/2Def Insect army token on the occupied tile.</t>
  </si>
  <si>
    <t>Bouncer Clankers</t>
  </si>
  <si>
    <t>Defenders</t>
  </si>
  <si>
    <t>Post-Battle: Any units dealt damage by Bouncer Clankers this combat move back 1 tile.</t>
  </si>
  <si>
    <t>Overflowing Mound</t>
  </si>
  <si>
    <t>SWIF</t>
  </si>
  <si>
    <t>Start: Create a 3kNum/3Power/3Def Insect army summon on this tile with "Static: This creature always advances when able."</t>
  </si>
  <si>
    <t>Assembly Lines</t>
  </si>
  <si>
    <t>WIM</t>
  </si>
  <si>
    <t>Activate(M): Create a 1kNum/5Power/5Def Clanker Army summon on any horizontally adjacent tile. You may use this ability any number of times per turn.</t>
  </si>
  <si>
    <t>Smog Churners</t>
  </si>
  <si>
    <t>IM</t>
  </si>
  <si>
    <t>Produce: 1 Metal if occupied tile is a resource tile.
Pre-Battle: Enemy combatants on this tile get -1 Power until end of combat.</t>
  </si>
  <si>
    <t>Draconic Horn</t>
  </si>
  <si>
    <t>SIC</t>
  </si>
  <si>
    <t>Start: Excavate for a Dragon card. Put that card on your frontlines.
Cannot be built on your backlines.</t>
  </si>
  <si>
    <t>Lord Kobalte</t>
  </si>
  <si>
    <t>SWIFMCA</t>
  </si>
  <si>
    <t>Dragon</t>
  </si>
  <si>
    <t>Kobalte</t>
  </si>
  <si>
    <t>Static: Cannot be chosen by cards.
Static: You may pay SWIF rather than pay the cost for Dragon cards.</t>
  </si>
  <si>
    <t>Filter-Bots</t>
  </si>
  <si>
    <t>End: Look at the top three cards of your deck. Put up to two into your discard pile.</t>
  </si>
  <si>
    <t>Draconic Mages</t>
  </si>
  <si>
    <t>Produce: 1 Mana if controlled tile is a resource tile.</t>
  </si>
  <si>
    <t>Fungamblers</t>
  </si>
  <si>
    <t>Rogues</t>
  </si>
  <si>
    <t xml:space="preserve">Start: Roll 2d6. Choose one result. Your castle gains fortitude equal to the chosen result and each opponent's castle loses fortitude equal to the other result. </t>
  </si>
  <si>
    <t>Repliclankers</t>
  </si>
  <si>
    <t>MM</t>
  </si>
  <si>
    <t>Repliclankers enters as a copy of a chosen combatant, but as Clanker Warriors with 3k numbers.</t>
  </si>
  <si>
    <t>Zh'Aedinn's Factory</t>
  </si>
  <si>
    <t>Post-Produce: Two random basic resources. If they do, produce one Metal.</t>
  </si>
  <si>
    <t>Fun Gus</t>
  </si>
  <si>
    <t>Gus</t>
  </si>
  <si>
    <t>Static: Whenever a non-Gus card makes you roll a dice, you may roll a dice. 
Static: Whenever you roll a 2, produce one Mana</t>
  </si>
  <si>
    <t>Mycelium Rootwalkers</t>
  </si>
  <si>
    <t>WFA</t>
  </si>
  <si>
    <t>Draconian Archers</t>
  </si>
  <si>
    <t>Draconian Warriors</t>
  </si>
  <si>
    <t>Impenetrable Hive</t>
  </si>
  <si>
    <t>Produce: 1 Food
Static: Other units on this tile have +2 Defense</t>
  </si>
  <si>
    <t>Ghost Slugs</t>
  </si>
  <si>
    <t>Phantom</t>
  </si>
  <si>
    <t>Ethereal (Cannot be damaged through combat)
Static: If the occupied tile has no Slime counters, put a Slime counter on it. Combatants on tiles with slime counters on them don't advance during their owner's turn.</t>
  </si>
  <si>
    <t>Shouting Ralliers</t>
  </si>
  <si>
    <t>SI</t>
  </si>
  <si>
    <t>Enter: Until the start of your next turn, Kobolds you control get +2 Power.</t>
  </si>
  <si>
    <t>Fight 'til the End</t>
  </si>
  <si>
    <t>Until end of turn, when a combatant you control dies, combatants you control get +2 Power and +1 Defense until end of turn.</t>
  </si>
  <si>
    <t>Rousing Speech</t>
  </si>
  <si>
    <t>Until end of turn, combatants you control get +1 Power and +3 Numbers</t>
  </si>
  <si>
    <t>Natakan Horse</t>
  </si>
  <si>
    <t>WWI</t>
  </si>
  <si>
    <t>You may play combatants on the occupied tile.</t>
  </si>
  <si>
    <t>Scaled Skirmishers</t>
  </si>
  <si>
    <t>Ophiocordyceps</t>
  </si>
  <si>
    <t>FFI</t>
  </si>
  <si>
    <t>Enter: Return an Insect combatant from your discard to this tile. If either this structure or the combatant leaves the field, the other falls.</t>
  </si>
  <si>
    <t>Swarming Locusts</t>
  </si>
  <si>
    <t>Swarm</t>
  </si>
  <si>
    <t>Static: Attacks from this unit ignore defense.</t>
  </si>
  <si>
    <t>Mycelium Overgrowth</t>
  </si>
  <si>
    <t>Produce: One food if occupied tile is a Food or Wood resource tile.
Activate(FFI, Destroy Mycelium Overgrowth): Return a chosen Insect from a discard to the field on this tile.</t>
  </si>
  <si>
    <t>Blood Boil</t>
  </si>
  <si>
    <t>AAA</t>
  </si>
  <si>
    <t>Deal true damage to each combatant equal to their defense.</t>
  </si>
  <si>
    <t>Eager Students</t>
  </si>
  <si>
    <t>II</t>
  </si>
  <si>
    <t>Enter: Return a spell from your discard to your hand.</t>
  </si>
  <si>
    <t>Magic Missile</t>
  </si>
  <si>
    <t>Deal 8 true damage distributed among up to 3 chosen units.</t>
  </si>
  <si>
    <t>Scaled Archmages</t>
  </si>
  <si>
    <t>SIA</t>
  </si>
  <si>
    <t>Produce: One Mana, usable only to play spells.</t>
  </si>
  <si>
    <t>Paper Mill</t>
  </si>
  <si>
    <t>Activate(W): Produce 3 Fiber.</t>
  </si>
  <si>
    <t>Nyalian Princes</t>
  </si>
  <si>
    <t>FC</t>
  </si>
  <si>
    <t>Nobles</t>
  </si>
  <si>
    <t>Static: Whenever this unit moves, it gets +1 Power and +1 Defense until end of turn.</t>
  </si>
  <si>
    <t>Palace of Nyalia</t>
  </si>
  <si>
    <t>Static: The first time a Feline advances, it advances twice.</t>
  </si>
  <si>
    <t>Archmage of Denial</t>
  </si>
  <si>
    <t>WIA</t>
  </si>
  <si>
    <t>Leviticus</t>
  </si>
  <si>
    <t>Static: Enemy combatants have no static abililties.</t>
  </si>
  <si>
    <t>Transmutation Mages</t>
  </si>
  <si>
    <t>Produce: One Mana
Activate(A): Produce a resource of any resource type.</t>
  </si>
  <si>
    <t>Bio-Shredders</t>
  </si>
  <si>
    <t>WMMM</t>
  </si>
  <si>
    <t>Goliaths</t>
  </si>
  <si>
    <t>Factory Blueprints</t>
  </si>
  <si>
    <t>Look at the top 6 cards of your deck. You may reveal up to 2 Clanker cards and put them into your hand. Put the rest on the bottom of your deck.</t>
  </si>
  <si>
    <t>Assassinate</t>
  </si>
  <si>
    <t>A chosen combatant falls.</t>
  </si>
  <si>
    <t>Outpost</t>
  </si>
  <si>
    <t>Harbinger of Famine</t>
  </si>
  <si>
    <t>FFFAA</t>
  </si>
  <si>
    <t>Incarnate</t>
  </si>
  <si>
    <t>Start: For each unit, it's owner may pay one Food or put that unit into their discard pile.</t>
  </si>
  <si>
    <t>Gale of Wind</t>
  </si>
  <si>
    <t>Choose a direction. Move each combatant one tile in that direction.</t>
  </si>
  <si>
    <t>The Mound Consumes</t>
  </si>
  <si>
    <t>Extra Cost: Sacrifice a combatant.
Choose one:
- Draw two cards.
- A chosen enemy combatant falls.</t>
  </si>
  <si>
    <t>Prideful Lions</t>
  </si>
  <si>
    <t>Static: Your other Righteous units have +1 Defense</t>
  </si>
  <si>
    <t>Burning Inquiry</t>
  </si>
  <si>
    <t>Your castle loses 2 Fortitude. Draw 2 cards.</t>
  </si>
  <si>
    <t>Counter-Strategy</t>
  </si>
  <si>
    <t>Put a chosen card planned card into it's owners discard pile.</t>
  </si>
  <si>
    <t>Divine Intervention</t>
  </si>
  <si>
    <t>Your combatants cannot fall this turn.</t>
  </si>
  <si>
    <t>Raze</t>
  </si>
  <si>
    <t>WMM</t>
  </si>
  <si>
    <t>Put a Razed counter on the occupied tile of a chosen combatant you own. (Tiles with Razed counters on them are not Resource tiles. Structures cannot be built on them.)</t>
  </si>
  <si>
    <t>Cleanse</t>
  </si>
  <si>
    <t>Remove all counters on all units and tiles.</t>
  </si>
  <si>
    <t>Incineratrons</t>
  </si>
  <si>
    <t>Activate(WMM): Put a Razed counter on the occupied  tile.</t>
  </si>
  <si>
    <t>Evhan, Strategist</t>
  </si>
  <si>
    <t>SIFM</t>
  </si>
  <si>
    <t>Static: Kobolds have +X Power, where X is equal to the combined power of other Kobolds diagonally aligned with them.</t>
  </si>
  <si>
    <t>Crazed Mechanics</t>
  </si>
  <si>
    <t>SWM</t>
  </si>
  <si>
    <t>Activate: A chosen structure on the occupied tile gains 2 Fortitude.</t>
  </si>
  <si>
    <t>Errica, Coven Conscript</t>
  </si>
  <si>
    <t>WIFA</t>
  </si>
  <si>
    <t>Static: Whenever you play a spell card, produce one Mana.
Activate(AAAAAA): You win the game.</t>
  </si>
  <si>
    <t>Errica used a crown to communicate with cultists to increase her power and influence. Baoust learned of her collusion and turned her into a human as punishment for turning against her race.</t>
  </si>
  <si>
    <t>Collude</t>
  </si>
  <si>
    <t>Each player chooses Knowledge or Power. For each Power vote, you and that player produce one resource of any resource type. For each knowledge vote, you and that player draw a card.</t>
  </si>
  <si>
    <t>Cost of Battle</t>
  </si>
  <si>
    <t>For each combatant that engaged in combat this turn, it's owner chooses a different resource they own. Each chosen resource decays.</t>
  </si>
  <si>
    <t>Rhyan, Assimilated</t>
  </si>
  <si>
    <t>FFC</t>
  </si>
  <si>
    <t>Post-Combat: For each combatant you own that felled a unit this turn, draw a card. For each combatant you own that was felled in combat this turn, produce one Food.</t>
  </si>
  <si>
    <t>Rhyan rejected his flesh and replaced it with chitin, encouraging centipedes to crawl through his ears and alter his pituitary glands such that he would grow more insect-like.</t>
  </si>
  <si>
    <t>Spire of Innovation</t>
  </si>
  <si>
    <t>SMC</t>
  </si>
  <si>
    <t>Spore Scrappers</t>
  </si>
  <si>
    <t>Psychedelic Sam</t>
  </si>
  <si>
    <t>Sam</t>
  </si>
  <si>
    <t>Pillar of Flame</t>
  </si>
  <si>
    <t>Zh'Aedin, in Billowing Smog</t>
  </si>
  <si>
    <t>Zh'Aedin</t>
  </si>
  <si>
    <t>Factory Defense Sentries</t>
  </si>
  <si>
    <t>Range 1
This unit cannot advance into a tile on an opponent's field.</t>
  </si>
  <si>
    <t>Precon 1</t>
  </si>
  <si>
    <t>Precon 2</t>
  </si>
  <si>
    <t>Card</t>
  </si>
  <si>
    <t>Count</t>
  </si>
  <si>
    <t>Dung Beetle Scavengers</t>
  </si>
  <si>
    <t>Ants insatiable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</si>
</sst>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3" fillId="0" borderId="0" xfId="0" applyFont="1"/>
    <xf numFmtId="0" fontId="4" fillId="0" borderId="0" xfId="1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3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BAD3C-526E-4CB2-8A3A-EBA98F9477B3}">
  <sheetPr>
    <pageSetUpPr fitToPage="1"/>
  </sheetPr>
  <dimension ref="A1:P73"/>
  <sheetViews>
    <sheetView topLeftCell="A57" zoomScaleNormal="100" workbookViewId="0">
      <selection activeCell="J55" sqref="J55"/>
    </sheetView>
  </sheetViews>
  <sheetFormatPr defaultRowHeight="15" x14ac:dyDescent="0.25"/>
  <cols>
    <col min="1" max="1" width="25.7109375" bestFit="1" customWidth="1"/>
    <col min="2" max="2" width="9.7109375" bestFit="1" customWidth="1"/>
    <col min="3" max="3" width="10.140625" bestFit="1" customWidth="1"/>
    <col min="4" max="4" width="8.140625" bestFit="1" customWidth="1"/>
    <col min="5" max="5" width="7.7109375" bestFit="1" customWidth="1"/>
    <col min="6" max="6" width="11.7109375" bestFit="1" customWidth="1"/>
    <col min="7" max="7" width="9.7109375" bestFit="1" customWidth="1"/>
    <col min="8" max="8" width="15.28515625" bestFit="1" customWidth="1"/>
    <col min="11" max="11" width="36.42578125" style="1" customWidth="1"/>
    <col min="12" max="12" width="11.28515625" bestFit="1" customWidth="1"/>
    <col min="14" max="14" width="11.85546875" bestFit="1" customWidth="1"/>
  </cols>
  <sheetData>
    <row r="1" spans="1:16" ht="24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t="s">
        <v>12</v>
      </c>
      <c r="N1" s="2" t="s">
        <v>13</v>
      </c>
    </row>
    <row r="2" spans="1:16" x14ac:dyDescent="0.25">
      <c r="A2" t="s">
        <v>14</v>
      </c>
      <c r="C2" t="s">
        <v>15</v>
      </c>
      <c r="D2" t="s">
        <v>16</v>
      </c>
      <c r="E2" t="s">
        <v>17</v>
      </c>
      <c r="H2" t="s">
        <v>18</v>
      </c>
      <c r="K2" s="1" t="s">
        <v>19</v>
      </c>
      <c r="L2" t="s">
        <v>20</v>
      </c>
      <c r="P2">
        <f>COUNTIF(L:L, "Common")</f>
        <v>36</v>
      </c>
    </row>
    <row r="3" spans="1:16" ht="24.75" x14ac:dyDescent="0.25">
      <c r="A3" t="s">
        <v>21</v>
      </c>
      <c r="B3" t="s">
        <v>22</v>
      </c>
      <c r="C3" t="s">
        <v>23</v>
      </c>
      <c r="D3" t="s">
        <v>24</v>
      </c>
      <c r="E3" t="s">
        <v>25</v>
      </c>
      <c r="F3">
        <v>10</v>
      </c>
      <c r="G3" t="s">
        <v>26</v>
      </c>
      <c r="H3" t="s">
        <v>27</v>
      </c>
      <c r="I3">
        <v>6</v>
      </c>
      <c r="J3">
        <v>3</v>
      </c>
      <c r="K3" s="1" t="s">
        <v>28</v>
      </c>
      <c r="L3" t="s">
        <v>29</v>
      </c>
      <c r="M3" s="5"/>
      <c r="P3">
        <f>COUNTIF(L:L, "Uncommon")</f>
        <v>18</v>
      </c>
    </row>
    <row r="4" spans="1:16" ht="36.75" x14ac:dyDescent="0.25">
      <c r="A4" t="s">
        <v>30</v>
      </c>
      <c r="C4" t="s">
        <v>31</v>
      </c>
      <c r="D4" t="s">
        <v>24</v>
      </c>
      <c r="E4" t="s">
        <v>32</v>
      </c>
      <c r="F4">
        <v>15</v>
      </c>
      <c r="H4" t="s">
        <v>33</v>
      </c>
      <c r="J4">
        <v>9</v>
      </c>
      <c r="K4" s="1" t="s">
        <v>34</v>
      </c>
      <c r="L4" t="s">
        <v>35</v>
      </c>
      <c r="P4">
        <f>COUNTIF(L:L, "Rare")</f>
        <v>11</v>
      </c>
    </row>
    <row r="5" spans="1:16" ht="24.75" x14ac:dyDescent="0.25">
      <c r="A5" t="s">
        <v>36</v>
      </c>
      <c r="C5" t="s">
        <v>23</v>
      </c>
      <c r="D5" t="s">
        <v>24</v>
      </c>
      <c r="E5" t="s">
        <v>37</v>
      </c>
      <c r="F5">
        <v>5</v>
      </c>
      <c r="G5" t="s">
        <v>38</v>
      </c>
      <c r="H5" t="s">
        <v>39</v>
      </c>
      <c r="I5">
        <v>1</v>
      </c>
      <c r="J5">
        <v>6</v>
      </c>
      <c r="K5" s="1" t="s">
        <v>40</v>
      </c>
      <c r="L5" t="s">
        <v>29</v>
      </c>
      <c r="P5">
        <f>COUNTIF(L:L, "Secret Rare")</f>
        <v>7</v>
      </c>
    </row>
    <row r="6" spans="1:16" ht="24.75" x14ac:dyDescent="0.25">
      <c r="A6" t="s">
        <v>41</v>
      </c>
      <c r="B6" t="s">
        <v>22</v>
      </c>
      <c r="C6" t="s">
        <v>23</v>
      </c>
      <c r="D6" t="s">
        <v>24</v>
      </c>
      <c r="E6" t="s">
        <v>42</v>
      </c>
      <c r="F6">
        <v>10</v>
      </c>
      <c r="G6" t="s">
        <v>26</v>
      </c>
      <c r="H6" t="s">
        <v>27</v>
      </c>
      <c r="I6" t="s">
        <v>43</v>
      </c>
      <c r="J6">
        <v>2</v>
      </c>
      <c r="K6" s="1" t="s">
        <v>44</v>
      </c>
      <c r="L6" t="s">
        <v>35</v>
      </c>
    </row>
    <row r="7" spans="1:16" ht="36.75" x14ac:dyDescent="0.25">
      <c r="A7" t="s">
        <v>45</v>
      </c>
      <c r="C7" t="s">
        <v>15</v>
      </c>
      <c r="D7" t="s">
        <v>46</v>
      </c>
      <c r="E7" t="s">
        <v>47</v>
      </c>
      <c r="H7" t="s">
        <v>18</v>
      </c>
      <c r="K7" s="1" t="s">
        <v>48</v>
      </c>
      <c r="L7" t="s">
        <v>35</v>
      </c>
    </row>
    <row r="8" spans="1:16" ht="24.75" x14ac:dyDescent="0.25">
      <c r="A8" t="s">
        <v>49</v>
      </c>
      <c r="B8" t="s">
        <v>22</v>
      </c>
      <c r="C8" t="s">
        <v>23</v>
      </c>
      <c r="D8" t="s">
        <v>24</v>
      </c>
      <c r="E8" t="s">
        <v>50</v>
      </c>
      <c r="F8">
        <v>10</v>
      </c>
      <c r="G8" t="s">
        <v>26</v>
      </c>
      <c r="H8" t="s">
        <v>27</v>
      </c>
      <c r="I8" t="s">
        <v>43</v>
      </c>
      <c r="J8">
        <v>2</v>
      </c>
      <c r="K8" s="1" t="s">
        <v>51</v>
      </c>
      <c r="L8" t="s">
        <v>35</v>
      </c>
    </row>
    <row r="9" spans="1:16" x14ac:dyDescent="0.25">
      <c r="A9" t="s">
        <v>52</v>
      </c>
      <c r="B9" t="s">
        <v>22</v>
      </c>
      <c r="C9" t="s">
        <v>23</v>
      </c>
      <c r="D9" t="s">
        <v>24</v>
      </c>
      <c r="E9" t="s">
        <v>42</v>
      </c>
      <c r="F9">
        <v>8</v>
      </c>
      <c r="G9" t="s">
        <v>53</v>
      </c>
      <c r="H9" t="s">
        <v>27</v>
      </c>
      <c r="I9">
        <v>3</v>
      </c>
      <c r="J9">
        <v>2</v>
      </c>
      <c r="K9" s="1" t="s">
        <v>54</v>
      </c>
      <c r="L9" t="s">
        <v>35</v>
      </c>
    </row>
    <row r="10" spans="1:16" x14ac:dyDescent="0.25">
      <c r="A10" t="s">
        <v>55</v>
      </c>
      <c r="C10" t="s">
        <v>56</v>
      </c>
      <c r="D10" t="s">
        <v>24</v>
      </c>
      <c r="F10">
        <v>60</v>
      </c>
      <c r="J10">
        <v>0</v>
      </c>
      <c r="L10" t="s">
        <v>35</v>
      </c>
    </row>
    <row r="11" spans="1:16" ht="24.75" x14ac:dyDescent="0.25">
      <c r="A11" t="s">
        <v>57</v>
      </c>
      <c r="B11" t="s">
        <v>58</v>
      </c>
      <c r="C11" t="s">
        <v>23</v>
      </c>
      <c r="D11" t="s">
        <v>16</v>
      </c>
      <c r="E11" t="s">
        <v>59</v>
      </c>
      <c r="F11">
        <v>11</v>
      </c>
      <c r="G11" t="s">
        <v>53</v>
      </c>
      <c r="H11" t="s">
        <v>27</v>
      </c>
      <c r="I11">
        <v>3</v>
      </c>
      <c r="J11">
        <v>3</v>
      </c>
      <c r="K11" s="1" t="s">
        <v>60</v>
      </c>
      <c r="L11" t="s">
        <v>20</v>
      </c>
    </row>
    <row r="12" spans="1:16" ht="36.75" x14ac:dyDescent="0.25">
      <c r="A12" t="s">
        <v>61</v>
      </c>
      <c r="B12" t="s">
        <v>62</v>
      </c>
      <c r="C12" t="s">
        <v>23</v>
      </c>
      <c r="D12" t="s">
        <v>24</v>
      </c>
      <c r="E12" t="s">
        <v>63</v>
      </c>
      <c r="F12">
        <v>2</v>
      </c>
      <c r="G12" t="s">
        <v>64</v>
      </c>
      <c r="H12" t="s">
        <v>65</v>
      </c>
      <c r="I12">
        <v>2</v>
      </c>
      <c r="J12">
        <v>2</v>
      </c>
      <c r="K12" s="1" t="s">
        <v>66</v>
      </c>
      <c r="L12" t="s">
        <v>20</v>
      </c>
    </row>
    <row r="13" spans="1:16" ht="24.75" x14ac:dyDescent="0.25">
      <c r="A13" t="s">
        <v>67</v>
      </c>
      <c r="B13" t="s">
        <v>22</v>
      </c>
      <c r="C13" t="s">
        <v>23</v>
      </c>
      <c r="D13" t="s">
        <v>24</v>
      </c>
      <c r="E13" t="s">
        <v>68</v>
      </c>
      <c r="F13">
        <v>5</v>
      </c>
      <c r="G13" t="s">
        <v>38</v>
      </c>
      <c r="H13" t="s">
        <v>69</v>
      </c>
      <c r="I13">
        <v>9</v>
      </c>
      <c r="J13">
        <v>2</v>
      </c>
      <c r="K13" s="1" t="s">
        <v>70</v>
      </c>
      <c r="L13" t="s">
        <v>20</v>
      </c>
    </row>
    <row r="14" spans="1:16" ht="24.75" x14ac:dyDescent="0.25">
      <c r="A14" t="s">
        <v>71</v>
      </c>
      <c r="B14" t="s">
        <v>22</v>
      </c>
      <c r="C14" t="s">
        <v>15</v>
      </c>
      <c r="D14" t="s">
        <v>16</v>
      </c>
      <c r="K14" s="1" t="s">
        <v>72</v>
      </c>
      <c r="L14" t="s">
        <v>29</v>
      </c>
    </row>
    <row r="15" spans="1:16" x14ac:dyDescent="0.25">
      <c r="A15" t="s">
        <v>73</v>
      </c>
      <c r="C15" t="s">
        <v>23</v>
      </c>
      <c r="D15" t="s">
        <v>24</v>
      </c>
      <c r="E15" t="s">
        <v>42</v>
      </c>
      <c r="F15">
        <v>2</v>
      </c>
      <c r="G15" t="s">
        <v>26</v>
      </c>
      <c r="H15" t="s">
        <v>74</v>
      </c>
      <c r="I15">
        <v>3</v>
      </c>
      <c r="J15">
        <v>3</v>
      </c>
      <c r="K15" s="1" t="s">
        <v>75</v>
      </c>
      <c r="L15" t="s">
        <v>29</v>
      </c>
    </row>
    <row r="16" spans="1:16" x14ac:dyDescent="0.25">
      <c r="A16" t="s">
        <v>76</v>
      </c>
      <c r="C16" t="s">
        <v>15</v>
      </c>
      <c r="D16" t="s">
        <v>16</v>
      </c>
      <c r="E16" t="s">
        <v>77</v>
      </c>
      <c r="H16" t="s">
        <v>18</v>
      </c>
      <c r="K16" s="1" t="s">
        <v>78</v>
      </c>
      <c r="L16" t="s">
        <v>35</v>
      </c>
    </row>
    <row r="17" spans="1:14" ht="60.75" x14ac:dyDescent="0.25">
      <c r="A17" t="s">
        <v>79</v>
      </c>
      <c r="C17" t="s">
        <v>80</v>
      </c>
      <c r="D17" t="s">
        <v>24</v>
      </c>
      <c r="E17" t="s">
        <v>81</v>
      </c>
      <c r="F17">
        <v>24</v>
      </c>
      <c r="G17" t="s">
        <v>38</v>
      </c>
      <c r="H17" t="s">
        <v>82</v>
      </c>
      <c r="I17">
        <v>4</v>
      </c>
      <c r="J17">
        <v>10</v>
      </c>
      <c r="K17" s="1" t="s">
        <v>83</v>
      </c>
      <c r="L17" t="s">
        <v>84</v>
      </c>
    </row>
    <row r="18" spans="1:14" x14ac:dyDescent="0.25">
      <c r="A18" t="s">
        <v>85</v>
      </c>
      <c r="C18" t="s">
        <v>23</v>
      </c>
      <c r="D18" t="s">
        <v>24</v>
      </c>
      <c r="E18" t="s">
        <v>86</v>
      </c>
      <c r="F18">
        <v>5</v>
      </c>
      <c r="G18" t="s">
        <v>87</v>
      </c>
      <c r="H18" t="s">
        <v>27</v>
      </c>
      <c r="I18">
        <v>10</v>
      </c>
      <c r="J18">
        <v>12</v>
      </c>
      <c r="L18" t="s">
        <v>35</v>
      </c>
      <c r="M18" s="8" t="s">
        <v>88</v>
      </c>
      <c r="N18" t="s">
        <v>89</v>
      </c>
    </row>
    <row r="19" spans="1:14" ht="24.75" x14ac:dyDescent="0.25">
      <c r="A19" t="s">
        <v>90</v>
      </c>
      <c r="B19" t="s">
        <v>58</v>
      </c>
      <c r="C19" t="s">
        <v>15</v>
      </c>
      <c r="D19" t="s">
        <v>24</v>
      </c>
      <c r="E19" t="s">
        <v>91</v>
      </c>
      <c r="K19" s="1" t="s">
        <v>92</v>
      </c>
      <c r="L19" t="s">
        <v>29</v>
      </c>
    </row>
    <row r="20" spans="1:14" ht="48.75" x14ac:dyDescent="0.25">
      <c r="A20" t="s">
        <v>93</v>
      </c>
      <c r="B20" t="s">
        <v>58</v>
      </c>
      <c r="C20" t="s">
        <v>80</v>
      </c>
      <c r="D20" t="s">
        <v>24</v>
      </c>
      <c r="E20" t="s">
        <v>94</v>
      </c>
      <c r="F20">
        <v>8</v>
      </c>
      <c r="G20" t="s">
        <v>53</v>
      </c>
      <c r="H20" t="s">
        <v>95</v>
      </c>
      <c r="I20">
        <v>11</v>
      </c>
      <c r="J20">
        <v>5</v>
      </c>
      <c r="K20" s="1" t="s">
        <v>96</v>
      </c>
      <c r="L20" t="s">
        <v>84</v>
      </c>
    </row>
    <row r="21" spans="1:14" ht="24.75" x14ac:dyDescent="0.25">
      <c r="A21" t="s">
        <v>97</v>
      </c>
      <c r="B21" t="s">
        <v>58</v>
      </c>
      <c r="C21" t="s">
        <v>31</v>
      </c>
      <c r="D21" t="s">
        <v>24</v>
      </c>
      <c r="E21" t="s">
        <v>98</v>
      </c>
      <c r="F21">
        <v>12</v>
      </c>
      <c r="H21" t="s">
        <v>99</v>
      </c>
      <c r="J21">
        <v>0</v>
      </c>
      <c r="K21" s="1" t="s">
        <v>100</v>
      </c>
      <c r="L21" t="s">
        <v>35</v>
      </c>
      <c r="M21" s="9" t="s">
        <v>101</v>
      </c>
      <c r="N21" t="s">
        <v>89</v>
      </c>
    </row>
    <row r="22" spans="1:14" x14ac:dyDescent="0.25">
      <c r="A22" t="s">
        <v>102</v>
      </c>
      <c r="C22" t="s">
        <v>15</v>
      </c>
      <c r="D22" t="s">
        <v>16</v>
      </c>
      <c r="E22" t="s">
        <v>103</v>
      </c>
      <c r="K22" s="1" t="s">
        <v>104</v>
      </c>
      <c r="L22" t="s">
        <v>20</v>
      </c>
    </row>
    <row r="23" spans="1:14" x14ac:dyDescent="0.25">
      <c r="A23" t="s">
        <v>105</v>
      </c>
      <c r="C23" t="s">
        <v>23</v>
      </c>
      <c r="D23" t="s">
        <v>24</v>
      </c>
      <c r="E23" t="s">
        <v>106</v>
      </c>
      <c r="F23">
        <v>4</v>
      </c>
      <c r="G23" t="s">
        <v>107</v>
      </c>
      <c r="H23" t="s">
        <v>108</v>
      </c>
      <c r="I23">
        <v>2</v>
      </c>
      <c r="J23">
        <v>6</v>
      </c>
      <c r="K23" s="1" t="s">
        <v>109</v>
      </c>
      <c r="L23" t="s">
        <v>20</v>
      </c>
    </row>
    <row r="24" spans="1:14" ht="36.75" x14ac:dyDescent="0.25">
      <c r="A24" t="s">
        <v>110</v>
      </c>
      <c r="C24" t="s">
        <v>31</v>
      </c>
      <c r="D24" t="s">
        <v>24</v>
      </c>
      <c r="E24" t="s">
        <v>111</v>
      </c>
      <c r="F24">
        <v>3</v>
      </c>
      <c r="H24" t="s">
        <v>33</v>
      </c>
      <c r="J24">
        <v>0</v>
      </c>
      <c r="K24" s="1" t="s">
        <v>112</v>
      </c>
      <c r="L24" t="s">
        <v>20</v>
      </c>
    </row>
    <row r="25" spans="1:14" ht="24.75" x14ac:dyDescent="0.25">
      <c r="A25" t="s">
        <v>113</v>
      </c>
      <c r="B25" t="s">
        <v>22</v>
      </c>
      <c r="C25" t="s">
        <v>23</v>
      </c>
      <c r="D25" t="s">
        <v>24</v>
      </c>
      <c r="E25" t="s">
        <v>114</v>
      </c>
      <c r="F25">
        <v>10</v>
      </c>
      <c r="G25" t="s">
        <v>26</v>
      </c>
      <c r="H25" t="s">
        <v>27</v>
      </c>
      <c r="I25">
        <v>5</v>
      </c>
      <c r="J25">
        <v>0</v>
      </c>
      <c r="K25" s="1" t="s">
        <v>115</v>
      </c>
      <c r="L25" t="s">
        <v>35</v>
      </c>
    </row>
    <row r="26" spans="1:14" ht="60.75" x14ac:dyDescent="0.25">
      <c r="A26" t="s">
        <v>116</v>
      </c>
      <c r="B26" t="s">
        <v>62</v>
      </c>
      <c r="C26" t="s">
        <v>80</v>
      </c>
      <c r="D26" t="s">
        <v>16</v>
      </c>
      <c r="E26" t="s">
        <v>117</v>
      </c>
      <c r="F26">
        <v>10</v>
      </c>
      <c r="G26" t="s">
        <v>64</v>
      </c>
      <c r="H26" t="s">
        <v>118</v>
      </c>
      <c r="I26">
        <v>8</v>
      </c>
      <c r="J26">
        <v>2</v>
      </c>
      <c r="K26" s="1" t="s">
        <v>119</v>
      </c>
      <c r="L26" t="s">
        <v>84</v>
      </c>
    </row>
    <row r="27" spans="1:14" x14ac:dyDescent="0.25">
      <c r="A27" t="s">
        <v>120</v>
      </c>
      <c r="C27" t="s">
        <v>23</v>
      </c>
      <c r="D27" t="s">
        <v>24</v>
      </c>
      <c r="E27" t="s">
        <v>121</v>
      </c>
      <c r="F27">
        <v>1</v>
      </c>
      <c r="G27" t="s">
        <v>64</v>
      </c>
      <c r="H27" t="s">
        <v>27</v>
      </c>
      <c r="I27">
        <v>6</v>
      </c>
      <c r="J27">
        <v>5</v>
      </c>
      <c r="L27" t="s">
        <v>20</v>
      </c>
      <c r="M27" s="8" t="s">
        <v>88</v>
      </c>
      <c r="N27" t="s">
        <v>89</v>
      </c>
    </row>
    <row r="28" spans="1:14" ht="24.75" x14ac:dyDescent="0.25">
      <c r="A28" t="s">
        <v>122</v>
      </c>
      <c r="C28" t="s">
        <v>23</v>
      </c>
      <c r="D28" t="s">
        <v>24</v>
      </c>
      <c r="E28" t="s">
        <v>59</v>
      </c>
      <c r="F28">
        <v>2</v>
      </c>
      <c r="G28" t="s">
        <v>64</v>
      </c>
      <c r="H28" t="s">
        <v>123</v>
      </c>
      <c r="I28">
        <v>3</v>
      </c>
      <c r="J28">
        <v>1</v>
      </c>
      <c r="K28" s="1" t="s">
        <v>124</v>
      </c>
      <c r="L28" t="s">
        <v>35</v>
      </c>
    </row>
    <row r="29" spans="1:14" x14ac:dyDescent="0.25">
      <c r="A29" t="s">
        <v>125</v>
      </c>
      <c r="B29" t="s">
        <v>62</v>
      </c>
      <c r="C29" t="s">
        <v>23</v>
      </c>
      <c r="D29" t="s">
        <v>16</v>
      </c>
      <c r="E29" t="s">
        <v>37</v>
      </c>
      <c r="F29">
        <v>3</v>
      </c>
      <c r="G29" t="s">
        <v>64</v>
      </c>
      <c r="H29" t="s">
        <v>27</v>
      </c>
      <c r="I29">
        <v>4</v>
      </c>
      <c r="J29">
        <v>1</v>
      </c>
      <c r="K29" s="1" t="s">
        <v>126</v>
      </c>
      <c r="L29" t="s">
        <v>20</v>
      </c>
    </row>
    <row r="30" spans="1:14" ht="24.75" x14ac:dyDescent="0.25">
      <c r="A30" t="s">
        <v>127</v>
      </c>
      <c r="B30" t="s">
        <v>22</v>
      </c>
      <c r="C30" t="s">
        <v>80</v>
      </c>
      <c r="D30" t="s">
        <v>24</v>
      </c>
      <c r="E30" t="s">
        <v>128</v>
      </c>
      <c r="F30">
        <v>24</v>
      </c>
      <c r="G30" t="s">
        <v>129</v>
      </c>
      <c r="H30" t="s">
        <v>130</v>
      </c>
      <c r="I30">
        <v>21</v>
      </c>
      <c r="J30">
        <v>3</v>
      </c>
      <c r="K30" s="1" t="s">
        <v>131</v>
      </c>
      <c r="L30" t="s">
        <v>29</v>
      </c>
      <c r="M30" s="8" t="s">
        <v>88</v>
      </c>
      <c r="N30" t="s">
        <v>89</v>
      </c>
    </row>
    <row r="31" spans="1:14" ht="24.75" x14ac:dyDescent="0.25">
      <c r="A31" t="s">
        <v>132</v>
      </c>
      <c r="B31" t="s">
        <v>133</v>
      </c>
      <c r="C31" t="s">
        <v>23</v>
      </c>
      <c r="D31" t="s">
        <v>24</v>
      </c>
      <c r="E31" t="s">
        <v>134</v>
      </c>
      <c r="F31">
        <v>16</v>
      </c>
      <c r="G31" t="s">
        <v>38</v>
      </c>
      <c r="H31" t="s">
        <v>27</v>
      </c>
      <c r="I31">
        <v>8</v>
      </c>
      <c r="J31">
        <v>4</v>
      </c>
      <c r="K31" s="1" t="s">
        <v>135</v>
      </c>
      <c r="L31" t="s">
        <v>35</v>
      </c>
    </row>
    <row r="32" spans="1:14" ht="72.75" x14ac:dyDescent="0.25">
      <c r="A32" t="s">
        <v>136</v>
      </c>
      <c r="B32" t="s">
        <v>62</v>
      </c>
      <c r="C32" t="s">
        <v>80</v>
      </c>
      <c r="D32" t="s">
        <v>16</v>
      </c>
      <c r="E32" t="s">
        <v>137</v>
      </c>
      <c r="F32">
        <v>5</v>
      </c>
      <c r="G32" t="s">
        <v>38</v>
      </c>
      <c r="H32" t="s">
        <v>138</v>
      </c>
      <c r="I32">
        <v>17</v>
      </c>
      <c r="J32">
        <v>5</v>
      </c>
      <c r="K32" s="1" t="s">
        <v>139</v>
      </c>
      <c r="L32" t="s">
        <v>20</v>
      </c>
    </row>
    <row r="33" spans="1:14" ht="48.75" x14ac:dyDescent="0.25">
      <c r="A33" t="s">
        <v>140</v>
      </c>
      <c r="B33" t="s">
        <v>133</v>
      </c>
      <c r="C33" t="s">
        <v>80</v>
      </c>
      <c r="D33" t="s">
        <v>24</v>
      </c>
      <c r="E33" t="s">
        <v>141</v>
      </c>
      <c r="F33">
        <v>7</v>
      </c>
      <c r="G33" t="s">
        <v>142</v>
      </c>
      <c r="H33" t="s">
        <v>140</v>
      </c>
      <c r="I33">
        <v>4</v>
      </c>
      <c r="J33">
        <v>3</v>
      </c>
      <c r="K33" s="1" t="s">
        <v>143</v>
      </c>
      <c r="L33" t="s">
        <v>29</v>
      </c>
    </row>
    <row r="34" spans="1:14" ht="36.75" x14ac:dyDescent="0.25">
      <c r="A34" t="s">
        <v>144</v>
      </c>
      <c r="B34" t="s">
        <v>58</v>
      </c>
      <c r="C34" t="s">
        <v>23</v>
      </c>
      <c r="D34" t="s">
        <v>24</v>
      </c>
      <c r="E34" t="s">
        <v>59</v>
      </c>
      <c r="F34">
        <v>5</v>
      </c>
      <c r="G34" t="s">
        <v>53</v>
      </c>
      <c r="H34" t="s">
        <v>39</v>
      </c>
      <c r="I34">
        <v>4</v>
      </c>
      <c r="J34">
        <v>3</v>
      </c>
      <c r="K34" s="1" t="s">
        <v>145</v>
      </c>
      <c r="L34" t="s">
        <v>35</v>
      </c>
      <c r="M34" s="8" t="s">
        <v>88</v>
      </c>
      <c r="N34" t="s">
        <v>146</v>
      </c>
    </row>
    <row r="35" spans="1:14" ht="24.75" x14ac:dyDescent="0.25">
      <c r="A35" t="s">
        <v>147</v>
      </c>
      <c r="B35" t="s">
        <v>133</v>
      </c>
      <c r="C35" t="s">
        <v>80</v>
      </c>
      <c r="D35" t="s">
        <v>24</v>
      </c>
      <c r="E35" t="s">
        <v>148</v>
      </c>
      <c r="F35">
        <v>11</v>
      </c>
      <c r="G35" t="s">
        <v>142</v>
      </c>
      <c r="H35" t="s">
        <v>149</v>
      </c>
      <c r="I35">
        <v>7</v>
      </c>
      <c r="J35">
        <v>6</v>
      </c>
      <c r="K35" s="1" t="s">
        <v>150</v>
      </c>
      <c r="L35" t="s">
        <v>84</v>
      </c>
      <c r="M35" s="8" t="s">
        <v>88</v>
      </c>
      <c r="N35" t="s">
        <v>151</v>
      </c>
    </row>
    <row r="36" spans="1:14" ht="36.75" x14ac:dyDescent="0.25">
      <c r="A36" t="s">
        <v>152</v>
      </c>
      <c r="B36" t="s">
        <v>22</v>
      </c>
      <c r="C36" t="s">
        <v>15</v>
      </c>
      <c r="D36" t="s">
        <v>24</v>
      </c>
      <c r="K36" s="1" t="s">
        <v>153</v>
      </c>
      <c r="L36" t="s">
        <v>20</v>
      </c>
    </row>
    <row r="37" spans="1:14" ht="36.75" x14ac:dyDescent="0.25">
      <c r="A37" t="s">
        <v>154</v>
      </c>
      <c r="B37" t="s">
        <v>133</v>
      </c>
      <c r="C37" t="s">
        <v>23</v>
      </c>
      <c r="D37" t="s">
        <v>24</v>
      </c>
      <c r="E37" t="s">
        <v>47</v>
      </c>
      <c r="F37">
        <v>6</v>
      </c>
      <c r="G37" t="s">
        <v>38</v>
      </c>
      <c r="H37" t="s">
        <v>69</v>
      </c>
      <c r="I37">
        <v>7</v>
      </c>
      <c r="J37">
        <v>2</v>
      </c>
      <c r="K37" s="1" t="s">
        <v>155</v>
      </c>
      <c r="L37" t="s">
        <v>20</v>
      </c>
    </row>
    <row r="38" spans="1:14" ht="24.75" x14ac:dyDescent="0.25">
      <c r="A38" t="s">
        <v>156</v>
      </c>
      <c r="B38" t="s">
        <v>133</v>
      </c>
      <c r="C38" t="s">
        <v>31</v>
      </c>
      <c r="D38" t="s">
        <v>24</v>
      </c>
      <c r="E38" t="s">
        <v>157</v>
      </c>
      <c r="F38">
        <v>4</v>
      </c>
      <c r="H38" t="s">
        <v>33</v>
      </c>
      <c r="J38">
        <v>1</v>
      </c>
      <c r="K38" s="1" t="s">
        <v>158</v>
      </c>
      <c r="L38" t="s">
        <v>35</v>
      </c>
    </row>
    <row r="39" spans="1:14" x14ac:dyDescent="0.25">
      <c r="A39" t="s">
        <v>159</v>
      </c>
      <c r="C39" t="s">
        <v>23</v>
      </c>
      <c r="D39" t="s">
        <v>24</v>
      </c>
      <c r="E39" t="s">
        <v>160</v>
      </c>
      <c r="F39">
        <v>7</v>
      </c>
      <c r="G39" t="s">
        <v>26</v>
      </c>
      <c r="H39" t="s">
        <v>161</v>
      </c>
      <c r="I39">
        <v>3</v>
      </c>
      <c r="J39">
        <v>2</v>
      </c>
      <c r="K39" s="1" t="s">
        <v>162</v>
      </c>
      <c r="L39" t="s">
        <v>35</v>
      </c>
      <c r="M39" s="7" t="s">
        <v>163</v>
      </c>
      <c r="N39" t="s">
        <v>164</v>
      </c>
    </row>
    <row r="40" spans="1:14" x14ac:dyDescent="0.25">
      <c r="A40" t="s">
        <v>165</v>
      </c>
      <c r="C40" t="s">
        <v>15</v>
      </c>
      <c r="D40" t="s">
        <v>46</v>
      </c>
      <c r="E40" t="s">
        <v>166</v>
      </c>
      <c r="K40" s="1" t="s">
        <v>167</v>
      </c>
      <c r="L40" t="s">
        <v>35</v>
      </c>
    </row>
    <row r="41" spans="1:14" x14ac:dyDescent="0.25">
      <c r="A41" t="s">
        <v>168</v>
      </c>
      <c r="B41" t="s">
        <v>133</v>
      </c>
      <c r="C41" t="s">
        <v>23</v>
      </c>
      <c r="D41" t="s">
        <v>169</v>
      </c>
      <c r="E41" t="s">
        <v>170</v>
      </c>
      <c r="F41">
        <v>8</v>
      </c>
      <c r="G41" t="s">
        <v>38</v>
      </c>
      <c r="H41" t="s">
        <v>27</v>
      </c>
      <c r="I41">
        <v>8</v>
      </c>
      <c r="J41">
        <v>8</v>
      </c>
      <c r="L41" t="s">
        <v>35</v>
      </c>
    </row>
    <row r="42" spans="1:14" ht="24.75" x14ac:dyDescent="0.25">
      <c r="A42" t="s">
        <v>171</v>
      </c>
      <c r="B42" t="s">
        <v>133</v>
      </c>
      <c r="C42" t="s">
        <v>23</v>
      </c>
      <c r="D42" t="s">
        <v>24</v>
      </c>
      <c r="E42" t="s">
        <v>50</v>
      </c>
      <c r="F42">
        <v>9</v>
      </c>
      <c r="G42" t="s">
        <v>38</v>
      </c>
      <c r="H42" t="s">
        <v>27</v>
      </c>
      <c r="I42">
        <v>3</v>
      </c>
      <c r="J42">
        <v>6</v>
      </c>
      <c r="K42" s="1" t="s">
        <v>172</v>
      </c>
      <c r="L42" t="s">
        <v>20</v>
      </c>
    </row>
    <row r="43" spans="1:14" x14ac:dyDescent="0.25">
      <c r="A43" t="s">
        <v>173</v>
      </c>
      <c r="B43" t="s">
        <v>133</v>
      </c>
      <c r="C43" t="s">
        <v>23</v>
      </c>
      <c r="D43" t="s">
        <v>24</v>
      </c>
      <c r="E43" t="s">
        <v>174</v>
      </c>
      <c r="F43">
        <v>10</v>
      </c>
      <c r="G43" t="s">
        <v>38</v>
      </c>
      <c r="H43" t="s">
        <v>27</v>
      </c>
      <c r="I43">
        <v>4</v>
      </c>
      <c r="J43">
        <v>3</v>
      </c>
      <c r="L43" t="s">
        <v>35</v>
      </c>
    </row>
    <row r="44" spans="1:14" x14ac:dyDescent="0.25">
      <c r="A44" t="s">
        <v>175</v>
      </c>
      <c r="B44" t="s">
        <v>58</v>
      </c>
      <c r="C44" t="s">
        <v>31</v>
      </c>
      <c r="D44" t="s">
        <v>24</v>
      </c>
      <c r="E44" t="s">
        <v>176</v>
      </c>
      <c r="F44">
        <v>8</v>
      </c>
      <c r="H44" t="s">
        <v>33</v>
      </c>
      <c r="J44">
        <v>0</v>
      </c>
      <c r="K44" s="1" t="s">
        <v>177</v>
      </c>
      <c r="L44" t="s">
        <v>35</v>
      </c>
    </row>
    <row r="45" spans="1:14" ht="48.75" x14ac:dyDescent="0.25">
      <c r="A45" t="s">
        <v>178</v>
      </c>
      <c r="B45" t="s">
        <v>58</v>
      </c>
      <c r="C45" t="s">
        <v>31</v>
      </c>
      <c r="D45" t="s">
        <v>24</v>
      </c>
      <c r="E45" t="s">
        <v>179</v>
      </c>
      <c r="F45">
        <v>5</v>
      </c>
      <c r="H45" t="s">
        <v>33</v>
      </c>
      <c r="J45">
        <v>9</v>
      </c>
      <c r="K45" s="1" t="s">
        <v>180</v>
      </c>
      <c r="L45" t="s">
        <v>35</v>
      </c>
    </row>
    <row r="46" spans="1:14" ht="39.75" customHeight="1" x14ac:dyDescent="0.25">
      <c r="A46" t="s">
        <v>181</v>
      </c>
      <c r="C46" t="s">
        <v>15</v>
      </c>
      <c r="D46" t="s">
        <v>16</v>
      </c>
      <c r="E46" t="s">
        <v>182</v>
      </c>
      <c r="H46" t="s">
        <v>18</v>
      </c>
      <c r="K46" s="1" t="s">
        <v>183</v>
      </c>
      <c r="L46" t="s">
        <v>20</v>
      </c>
      <c r="M46" s="8" t="s">
        <v>88</v>
      </c>
      <c r="N46" t="s">
        <v>89</v>
      </c>
    </row>
    <row r="47" spans="1:14" x14ac:dyDescent="0.25">
      <c r="A47" t="s">
        <v>184</v>
      </c>
      <c r="B47" t="s">
        <v>62</v>
      </c>
      <c r="C47" t="s">
        <v>23</v>
      </c>
      <c r="D47" t="s">
        <v>16</v>
      </c>
      <c r="E47" t="s">
        <v>111</v>
      </c>
      <c r="F47">
        <v>3</v>
      </c>
      <c r="G47" t="s">
        <v>64</v>
      </c>
      <c r="H47" t="s">
        <v>27</v>
      </c>
      <c r="I47">
        <v>5</v>
      </c>
      <c r="J47">
        <v>0</v>
      </c>
      <c r="K47" s="1" t="s">
        <v>185</v>
      </c>
      <c r="L47" t="s">
        <v>35</v>
      </c>
      <c r="M47" s="9" t="s">
        <v>101</v>
      </c>
      <c r="N47" t="s">
        <v>89</v>
      </c>
    </row>
    <row r="48" spans="1:14" ht="24.75" x14ac:dyDescent="0.25">
      <c r="A48" t="s">
        <v>186</v>
      </c>
      <c r="B48" t="s">
        <v>62</v>
      </c>
      <c r="C48" t="s">
        <v>23</v>
      </c>
      <c r="D48" t="s">
        <v>24</v>
      </c>
      <c r="E48" t="s">
        <v>59</v>
      </c>
      <c r="F48">
        <v>3</v>
      </c>
      <c r="G48" t="s">
        <v>38</v>
      </c>
      <c r="H48" t="s">
        <v>27</v>
      </c>
      <c r="I48">
        <v>15</v>
      </c>
      <c r="J48">
        <v>0</v>
      </c>
      <c r="K48" s="1" t="s">
        <v>187</v>
      </c>
      <c r="L48" t="s">
        <v>35</v>
      </c>
    </row>
    <row r="49" spans="1:14" ht="24.75" x14ac:dyDescent="0.25">
      <c r="A49" t="s">
        <v>188</v>
      </c>
      <c r="C49" t="s">
        <v>23</v>
      </c>
      <c r="D49" t="s">
        <v>24</v>
      </c>
      <c r="E49" t="s">
        <v>114</v>
      </c>
      <c r="F49">
        <v>1</v>
      </c>
      <c r="G49" t="s">
        <v>38</v>
      </c>
      <c r="H49" t="s">
        <v>74</v>
      </c>
      <c r="I49">
        <v>0</v>
      </c>
      <c r="J49">
        <v>1</v>
      </c>
      <c r="K49" s="1" t="s">
        <v>189</v>
      </c>
      <c r="L49" t="s">
        <v>20</v>
      </c>
      <c r="M49" s="9" t="s">
        <v>101</v>
      </c>
      <c r="N49" t="s">
        <v>151</v>
      </c>
    </row>
    <row r="50" spans="1:14" ht="48.75" x14ac:dyDescent="0.25">
      <c r="A50" t="s">
        <v>190</v>
      </c>
      <c r="C50" t="s">
        <v>31</v>
      </c>
      <c r="D50" t="s">
        <v>24</v>
      </c>
      <c r="E50" t="s">
        <v>111</v>
      </c>
      <c r="F50">
        <v>1</v>
      </c>
      <c r="H50" t="s">
        <v>191</v>
      </c>
      <c r="J50">
        <v>0</v>
      </c>
      <c r="K50" s="1" t="s">
        <v>192</v>
      </c>
      <c r="L50" t="s">
        <v>20</v>
      </c>
    </row>
    <row r="51" spans="1:14" x14ac:dyDescent="0.25">
      <c r="A51" t="s">
        <v>193</v>
      </c>
      <c r="C51" t="s">
        <v>15</v>
      </c>
      <c r="D51" t="s">
        <v>46</v>
      </c>
      <c r="K51" s="1" t="s">
        <v>194</v>
      </c>
      <c r="L51" t="s">
        <v>35</v>
      </c>
    </row>
    <row r="52" spans="1:14" ht="48.75" x14ac:dyDescent="0.25">
      <c r="A52" t="s">
        <v>195</v>
      </c>
      <c r="B52" t="s">
        <v>62</v>
      </c>
      <c r="C52" t="s">
        <v>80</v>
      </c>
      <c r="D52" t="s">
        <v>24</v>
      </c>
      <c r="E52" t="s">
        <v>196</v>
      </c>
      <c r="F52">
        <v>7</v>
      </c>
      <c r="G52" t="s">
        <v>38</v>
      </c>
      <c r="H52" t="s">
        <v>197</v>
      </c>
      <c r="I52">
        <v>7</v>
      </c>
      <c r="J52">
        <v>7</v>
      </c>
      <c r="K52" s="1" t="s">
        <v>198</v>
      </c>
      <c r="L52" t="s">
        <v>84</v>
      </c>
    </row>
    <row r="53" spans="1:14" ht="48.75" x14ac:dyDescent="0.25">
      <c r="A53" t="s">
        <v>199</v>
      </c>
      <c r="B53" t="s">
        <v>22</v>
      </c>
      <c r="C53" t="s">
        <v>31</v>
      </c>
      <c r="D53" t="s">
        <v>24</v>
      </c>
      <c r="E53" t="s">
        <v>200</v>
      </c>
      <c r="F53">
        <v>1</v>
      </c>
      <c r="H53" t="s">
        <v>201</v>
      </c>
      <c r="J53">
        <v>15</v>
      </c>
      <c r="K53" s="1" t="s">
        <v>202</v>
      </c>
      <c r="L53" t="s">
        <v>29</v>
      </c>
    </row>
    <row r="54" spans="1:14" x14ac:dyDescent="0.25">
      <c r="A54" t="s">
        <v>203</v>
      </c>
      <c r="B54" t="s">
        <v>62</v>
      </c>
      <c r="C54" t="s">
        <v>23</v>
      </c>
      <c r="D54" t="s">
        <v>24</v>
      </c>
      <c r="E54" t="s">
        <v>59</v>
      </c>
      <c r="F54">
        <v>5</v>
      </c>
      <c r="G54" t="s">
        <v>64</v>
      </c>
      <c r="H54" t="s">
        <v>161</v>
      </c>
      <c r="I54">
        <v>7</v>
      </c>
      <c r="J54">
        <v>1</v>
      </c>
      <c r="K54" s="1" t="s">
        <v>204</v>
      </c>
      <c r="L54" t="s">
        <v>35</v>
      </c>
    </row>
    <row r="55" spans="1:14" ht="48.75" x14ac:dyDescent="0.25">
      <c r="A55" t="s">
        <v>205</v>
      </c>
      <c r="B55" t="s">
        <v>133</v>
      </c>
      <c r="C55" t="s">
        <v>23</v>
      </c>
      <c r="D55" t="s">
        <v>24</v>
      </c>
      <c r="E55" t="s">
        <v>174</v>
      </c>
      <c r="F55">
        <v>3</v>
      </c>
      <c r="G55" t="s">
        <v>142</v>
      </c>
      <c r="H55" t="s">
        <v>27</v>
      </c>
      <c r="I55">
        <v>4</v>
      </c>
      <c r="J55">
        <v>0</v>
      </c>
      <c r="K55" s="1" t="s">
        <v>206</v>
      </c>
      <c r="L55" t="s">
        <v>35</v>
      </c>
      <c r="M55" s="8" t="s">
        <v>88</v>
      </c>
      <c r="N55" t="s">
        <v>151</v>
      </c>
    </row>
    <row r="56" spans="1:14" ht="36.75" x14ac:dyDescent="0.25">
      <c r="A56" t="s">
        <v>207</v>
      </c>
      <c r="C56" t="s">
        <v>31</v>
      </c>
      <c r="D56" t="s">
        <v>24</v>
      </c>
      <c r="E56" t="s">
        <v>111</v>
      </c>
      <c r="F56">
        <v>5</v>
      </c>
      <c r="H56" t="s">
        <v>33</v>
      </c>
      <c r="J56">
        <v>2</v>
      </c>
      <c r="K56" s="1" t="s">
        <v>208</v>
      </c>
      <c r="L56" t="s">
        <v>35</v>
      </c>
    </row>
    <row r="57" spans="1:14" x14ac:dyDescent="0.25">
      <c r="A57" t="s">
        <v>209</v>
      </c>
      <c r="B57" t="s">
        <v>58</v>
      </c>
      <c r="C57" t="s">
        <v>23</v>
      </c>
      <c r="D57" t="s">
        <v>24</v>
      </c>
      <c r="E57" t="s">
        <v>50</v>
      </c>
      <c r="F57">
        <v>3</v>
      </c>
      <c r="G57" t="s">
        <v>53</v>
      </c>
      <c r="H57" t="s">
        <v>74</v>
      </c>
      <c r="I57">
        <v>3</v>
      </c>
      <c r="J57">
        <v>1</v>
      </c>
      <c r="K57" s="1" t="s">
        <v>210</v>
      </c>
      <c r="L57" t="s">
        <v>20</v>
      </c>
      <c r="M57" s="8" t="s">
        <v>88</v>
      </c>
      <c r="N57" t="s">
        <v>146</v>
      </c>
    </row>
    <row r="58" spans="1:14" ht="24.75" x14ac:dyDescent="0.25">
      <c r="A58" t="s">
        <v>211</v>
      </c>
      <c r="B58" t="s">
        <v>58</v>
      </c>
      <c r="C58" t="s">
        <v>80</v>
      </c>
      <c r="D58" t="s">
        <v>24</v>
      </c>
      <c r="E58" t="s">
        <v>212</v>
      </c>
      <c r="F58">
        <v>18</v>
      </c>
      <c r="G58" t="s">
        <v>87</v>
      </c>
      <c r="H58" t="s">
        <v>213</v>
      </c>
      <c r="I58">
        <v>0</v>
      </c>
      <c r="J58">
        <v>12</v>
      </c>
      <c r="K58" s="1" t="s">
        <v>214</v>
      </c>
      <c r="L58" t="s">
        <v>29</v>
      </c>
    </row>
    <row r="59" spans="1:14" ht="36.75" x14ac:dyDescent="0.25">
      <c r="A59" t="s">
        <v>215</v>
      </c>
      <c r="C59" t="s">
        <v>31</v>
      </c>
      <c r="D59" t="s">
        <v>24</v>
      </c>
      <c r="E59" t="s">
        <v>111</v>
      </c>
      <c r="F59">
        <v>1</v>
      </c>
      <c r="H59" t="s">
        <v>191</v>
      </c>
      <c r="J59">
        <v>0</v>
      </c>
      <c r="K59" s="1" t="s">
        <v>216</v>
      </c>
      <c r="L59" t="s">
        <v>35</v>
      </c>
    </row>
    <row r="60" spans="1:14" ht="24.75" x14ac:dyDescent="0.25">
      <c r="A60" t="s">
        <v>217</v>
      </c>
      <c r="B60" t="s">
        <v>62</v>
      </c>
      <c r="C60" t="s">
        <v>80</v>
      </c>
      <c r="D60" t="s">
        <v>24</v>
      </c>
      <c r="E60" t="s">
        <v>218</v>
      </c>
      <c r="F60">
        <v>16</v>
      </c>
      <c r="G60" t="s">
        <v>219</v>
      </c>
      <c r="H60" t="s">
        <v>220</v>
      </c>
      <c r="I60">
        <v>2</v>
      </c>
      <c r="J60">
        <v>2</v>
      </c>
      <c r="K60" s="1" t="s">
        <v>221</v>
      </c>
      <c r="L60" t="s">
        <v>84</v>
      </c>
      <c r="M60" s="7" t="s">
        <v>163</v>
      </c>
      <c r="N60" t="s">
        <v>222</v>
      </c>
    </row>
    <row r="61" spans="1:14" ht="36.75" x14ac:dyDescent="0.25">
      <c r="A61" t="s">
        <v>223</v>
      </c>
      <c r="C61" t="s">
        <v>80</v>
      </c>
      <c r="D61" t="s">
        <v>24</v>
      </c>
      <c r="E61" t="s">
        <v>224</v>
      </c>
      <c r="F61">
        <v>2</v>
      </c>
      <c r="G61" t="s">
        <v>225</v>
      </c>
      <c r="H61" t="s">
        <v>226</v>
      </c>
      <c r="I61">
        <v>1</v>
      </c>
      <c r="J61">
        <v>8</v>
      </c>
      <c r="K61" s="1" t="s">
        <v>227</v>
      </c>
      <c r="L61" t="s">
        <v>29</v>
      </c>
    </row>
    <row r="62" spans="1:14" ht="36.75" x14ac:dyDescent="0.25">
      <c r="A62" t="s">
        <v>228</v>
      </c>
      <c r="C62" t="s">
        <v>31</v>
      </c>
      <c r="D62" t="s">
        <v>24</v>
      </c>
      <c r="E62" t="s">
        <v>37</v>
      </c>
      <c r="F62">
        <v>3</v>
      </c>
      <c r="J62">
        <v>1</v>
      </c>
      <c r="K62" s="1" t="s">
        <v>229</v>
      </c>
      <c r="L62" t="s">
        <v>29</v>
      </c>
    </row>
    <row r="63" spans="1:14" ht="24.75" x14ac:dyDescent="0.25">
      <c r="A63" t="s">
        <v>230</v>
      </c>
      <c r="C63" t="s">
        <v>31</v>
      </c>
      <c r="D63" t="s">
        <v>24</v>
      </c>
      <c r="E63" t="s">
        <v>231</v>
      </c>
      <c r="F63">
        <v>10</v>
      </c>
      <c r="H63" t="s">
        <v>99</v>
      </c>
      <c r="J63">
        <v>8</v>
      </c>
      <c r="K63" s="1" t="s">
        <v>232</v>
      </c>
      <c r="L63" t="s">
        <v>35</v>
      </c>
    </row>
    <row r="64" spans="1:14" x14ac:dyDescent="0.25">
      <c r="A64" t="s">
        <v>233</v>
      </c>
      <c r="C64" t="s">
        <v>23</v>
      </c>
      <c r="D64" t="s">
        <v>24</v>
      </c>
      <c r="E64" t="s">
        <v>231</v>
      </c>
      <c r="F64">
        <v>7</v>
      </c>
      <c r="G64" t="s">
        <v>87</v>
      </c>
      <c r="H64" t="s">
        <v>27</v>
      </c>
      <c r="I64">
        <v>4</v>
      </c>
      <c r="J64">
        <v>9</v>
      </c>
      <c r="L64" t="s">
        <v>35</v>
      </c>
    </row>
    <row r="65" spans="1:14" x14ac:dyDescent="0.25">
      <c r="A65" t="s">
        <v>234</v>
      </c>
      <c r="C65" t="s">
        <v>23</v>
      </c>
      <c r="D65" t="s">
        <v>24</v>
      </c>
      <c r="E65" t="s">
        <v>157</v>
      </c>
      <c r="F65">
        <v>4</v>
      </c>
      <c r="G65" t="s">
        <v>107</v>
      </c>
      <c r="H65" t="s">
        <v>27</v>
      </c>
      <c r="I65">
        <v>2</v>
      </c>
      <c r="J65">
        <v>5</v>
      </c>
      <c r="L65" t="s">
        <v>35</v>
      </c>
    </row>
    <row r="66" spans="1:14" x14ac:dyDescent="0.25">
      <c r="A66" t="s">
        <v>235</v>
      </c>
      <c r="C66" t="s">
        <v>15</v>
      </c>
      <c r="D66" t="s">
        <v>16</v>
      </c>
      <c r="K66" s="1" t="s">
        <v>236</v>
      </c>
      <c r="L66" t="s">
        <v>35</v>
      </c>
    </row>
    <row r="67" spans="1:14" ht="36.75" x14ac:dyDescent="0.25">
      <c r="A67" t="s">
        <v>237</v>
      </c>
      <c r="B67" t="s">
        <v>62</v>
      </c>
      <c r="C67" t="s">
        <v>23</v>
      </c>
      <c r="D67" t="s">
        <v>16</v>
      </c>
      <c r="E67" t="s">
        <v>63</v>
      </c>
      <c r="F67">
        <v>2</v>
      </c>
      <c r="G67" t="s">
        <v>53</v>
      </c>
      <c r="H67" t="s">
        <v>238</v>
      </c>
      <c r="I67">
        <v>3</v>
      </c>
      <c r="J67">
        <v>0</v>
      </c>
      <c r="K67" s="1" t="s">
        <v>239</v>
      </c>
      <c r="L67" t="s">
        <v>35</v>
      </c>
    </row>
    <row r="68" spans="1:14" ht="36.75" x14ac:dyDescent="0.25">
      <c r="A68" t="s">
        <v>240</v>
      </c>
      <c r="C68" t="s">
        <v>15</v>
      </c>
      <c r="D68" t="s">
        <v>46</v>
      </c>
      <c r="E68" t="s">
        <v>77</v>
      </c>
      <c r="H68" t="s">
        <v>18</v>
      </c>
      <c r="K68" s="1" t="s">
        <v>241</v>
      </c>
      <c r="L68" t="s">
        <v>35</v>
      </c>
    </row>
    <row r="69" spans="1:14" ht="24.75" x14ac:dyDescent="0.25">
      <c r="A69" t="s">
        <v>242</v>
      </c>
      <c r="C69" t="s">
        <v>23</v>
      </c>
      <c r="D69" t="s">
        <v>24</v>
      </c>
      <c r="E69" t="s">
        <v>243</v>
      </c>
      <c r="F69">
        <v>5</v>
      </c>
      <c r="G69" t="s">
        <v>107</v>
      </c>
      <c r="H69" t="s">
        <v>27</v>
      </c>
      <c r="I69">
        <v>6</v>
      </c>
      <c r="J69">
        <v>6</v>
      </c>
      <c r="K69" s="1" t="s">
        <v>244</v>
      </c>
      <c r="L69" t="s">
        <v>35</v>
      </c>
      <c r="M69" s="9" t="s">
        <v>101</v>
      </c>
      <c r="N69" t="s">
        <v>89</v>
      </c>
    </row>
    <row r="70" spans="1:14" ht="36.75" x14ac:dyDescent="0.25">
      <c r="A70" t="s">
        <v>245</v>
      </c>
      <c r="B70" t="s">
        <v>62</v>
      </c>
      <c r="C70" t="s">
        <v>23</v>
      </c>
      <c r="D70" t="s">
        <v>46</v>
      </c>
      <c r="E70" t="s">
        <v>246</v>
      </c>
      <c r="F70">
        <v>1</v>
      </c>
      <c r="G70" t="s">
        <v>225</v>
      </c>
      <c r="H70" t="s">
        <v>247</v>
      </c>
      <c r="I70">
        <v>0</v>
      </c>
      <c r="J70">
        <v>15</v>
      </c>
      <c r="K70" s="1" t="s">
        <v>248</v>
      </c>
      <c r="L70" t="s">
        <v>20</v>
      </c>
      <c r="M70" s="8" t="s">
        <v>88</v>
      </c>
      <c r="N70" t="s">
        <v>89</v>
      </c>
    </row>
    <row r="71" spans="1:14" ht="24.75" x14ac:dyDescent="0.25">
      <c r="A71" t="s">
        <v>249</v>
      </c>
      <c r="C71" t="s">
        <v>23</v>
      </c>
      <c r="D71" t="s">
        <v>16</v>
      </c>
      <c r="E71" t="s">
        <v>121</v>
      </c>
      <c r="F71">
        <v>5</v>
      </c>
      <c r="G71" t="s">
        <v>142</v>
      </c>
      <c r="H71" t="s">
        <v>238</v>
      </c>
      <c r="I71">
        <v>4</v>
      </c>
      <c r="J71">
        <v>1</v>
      </c>
      <c r="K71" s="1" t="s">
        <v>250</v>
      </c>
      <c r="L71" t="s">
        <v>35</v>
      </c>
    </row>
    <row r="72" spans="1:14" ht="36.75" x14ac:dyDescent="0.25">
      <c r="A72" t="s">
        <v>251</v>
      </c>
      <c r="C72" t="s">
        <v>23</v>
      </c>
      <c r="D72" t="s">
        <v>24</v>
      </c>
      <c r="E72" t="s">
        <v>63</v>
      </c>
      <c r="F72">
        <v>3</v>
      </c>
      <c r="G72" t="s">
        <v>142</v>
      </c>
      <c r="H72" t="s">
        <v>74</v>
      </c>
      <c r="I72">
        <v>2</v>
      </c>
      <c r="J72">
        <v>0</v>
      </c>
      <c r="K72" s="1" t="s">
        <v>252</v>
      </c>
      <c r="L72" t="s">
        <v>35</v>
      </c>
    </row>
    <row r="73" spans="1:14" ht="36.75" x14ac:dyDescent="0.25">
      <c r="A73" t="s">
        <v>253</v>
      </c>
      <c r="C73" t="s">
        <v>80</v>
      </c>
      <c r="D73" t="s">
        <v>24</v>
      </c>
      <c r="E73" t="s">
        <v>254</v>
      </c>
      <c r="F73">
        <v>8</v>
      </c>
      <c r="G73" t="s">
        <v>107</v>
      </c>
      <c r="H73" t="s">
        <v>255</v>
      </c>
      <c r="I73">
        <v>6</v>
      </c>
      <c r="J73">
        <v>11</v>
      </c>
      <c r="K73" s="1" t="s">
        <v>256</v>
      </c>
      <c r="L73" t="s">
        <v>84</v>
      </c>
    </row>
  </sheetData>
  <sortState xmlns:xlrd2="http://schemas.microsoft.com/office/spreadsheetml/2017/richdata2" ref="A2:L73">
    <sortCondition ref="A2:A73"/>
  </sortState>
  <printOptions gridLines="1"/>
  <pageMargins left="0.7" right="0.7" top="0.75" bottom="0.75" header="0.3" footer="0.3"/>
  <pageSetup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09819-88AD-4922-89C4-E36F98EAC984}">
  <dimension ref="A1:O67"/>
  <sheetViews>
    <sheetView tabSelected="1" topLeftCell="A58" zoomScaleNormal="100" workbookViewId="0">
      <selection activeCell="J66" sqref="J66"/>
    </sheetView>
  </sheetViews>
  <sheetFormatPr defaultRowHeight="15" x14ac:dyDescent="0.25"/>
  <cols>
    <col min="1" max="1" width="20.85546875" bestFit="1" customWidth="1"/>
    <col min="3" max="3" width="10.140625" bestFit="1" customWidth="1"/>
    <col min="6" max="6" width="11.7109375" bestFit="1" customWidth="1"/>
    <col min="8" max="8" width="12.28515625" bestFit="1" customWidth="1"/>
    <col min="11" max="11" width="36.42578125" style="1" customWidth="1"/>
    <col min="15" max="15" width="46.85546875" style="6" customWidth="1"/>
  </cols>
  <sheetData>
    <row r="1" spans="1:15" ht="24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t="s">
        <v>12</v>
      </c>
      <c r="N1" s="2" t="s">
        <v>13</v>
      </c>
      <c r="O1" s="3" t="s">
        <v>257</v>
      </c>
    </row>
    <row r="2" spans="1:15" ht="24.75" x14ac:dyDescent="0.25">
      <c r="A2" t="s">
        <v>258</v>
      </c>
      <c r="C2" t="s">
        <v>23</v>
      </c>
      <c r="D2" t="s">
        <v>24</v>
      </c>
      <c r="E2" t="s">
        <v>246</v>
      </c>
      <c r="F2">
        <v>11</v>
      </c>
      <c r="G2" t="s">
        <v>219</v>
      </c>
      <c r="H2" t="s">
        <v>27</v>
      </c>
      <c r="I2">
        <v>6</v>
      </c>
      <c r="J2">
        <v>3</v>
      </c>
      <c r="K2" s="1" t="s">
        <v>259</v>
      </c>
    </row>
    <row r="3" spans="1:15" ht="36.75" x14ac:dyDescent="0.25">
      <c r="A3" t="s">
        <v>260</v>
      </c>
      <c r="B3" t="s">
        <v>58</v>
      </c>
      <c r="C3" t="s">
        <v>80</v>
      </c>
      <c r="D3" t="s">
        <v>24</v>
      </c>
      <c r="E3" t="s">
        <v>261</v>
      </c>
      <c r="F3">
        <v>6</v>
      </c>
      <c r="G3" t="s">
        <v>38</v>
      </c>
      <c r="H3" t="s">
        <v>262</v>
      </c>
      <c r="I3">
        <v>8</v>
      </c>
      <c r="J3">
        <v>5</v>
      </c>
      <c r="K3" s="1" t="s">
        <v>263</v>
      </c>
    </row>
    <row r="4" spans="1:15" ht="36.75" x14ac:dyDescent="0.25">
      <c r="A4" t="s">
        <v>264</v>
      </c>
      <c r="B4" t="s">
        <v>22</v>
      </c>
      <c r="C4" t="s">
        <v>23</v>
      </c>
      <c r="D4" t="s">
        <v>24</v>
      </c>
      <c r="E4" t="s">
        <v>50</v>
      </c>
      <c r="F4">
        <v>10</v>
      </c>
      <c r="G4" t="s">
        <v>26</v>
      </c>
      <c r="H4" t="s">
        <v>27</v>
      </c>
      <c r="I4">
        <v>6</v>
      </c>
      <c r="J4">
        <v>1</v>
      </c>
      <c r="K4" s="1" t="s">
        <v>265</v>
      </c>
    </row>
    <row r="5" spans="1:15" ht="24.75" x14ac:dyDescent="0.25">
      <c r="A5" t="s">
        <v>266</v>
      </c>
      <c r="B5" t="s">
        <v>58</v>
      </c>
      <c r="C5" t="s">
        <v>15</v>
      </c>
      <c r="D5" t="s">
        <v>16</v>
      </c>
      <c r="E5" t="s">
        <v>267</v>
      </c>
      <c r="H5" t="s">
        <v>18</v>
      </c>
      <c r="K5" s="1" t="s">
        <v>268</v>
      </c>
    </row>
    <row r="6" spans="1:15" ht="48.75" x14ac:dyDescent="0.25">
      <c r="A6" t="s">
        <v>269</v>
      </c>
      <c r="C6" t="s">
        <v>31</v>
      </c>
      <c r="D6" t="s">
        <v>24</v>
      </c>
      <c r="E6" t="s">
        <v>59</v>
      </c>
      <c r="F6">
        <v>1</v>
      </c>
      <c r="H6" t="s">
        <v>99</v>
      </c>
      <c r="J6">
        <v>5</v>
      </c>
      <c r="K6" s="1" t="s">
        <v>270</v>
      </c>
    </row>
    <row r="7" spans="1:15" ht="36.75" x14ac:dyDescent="0.25">
      <c r="A7" t="s">
        <v>271</v>
      </c>
      <c r="C7" t="s">
        <v>23</v>
      </c>
      <c r="D7" t="s">
        <v>24</v>
      </c>
      <c r="E7" t="s">
        <v>59</v>
      </c>
      <c r="F7">
        <v>5</v>
      </c>
      <c r="G7" t="s">
        <v>53</v>
      </c>
      <c r="H7" t="s">
        <v>27</v>
      </c>
      <c r="I7">
        <v>4</v>
      </c>
      <c r="J7">
        <v>4</v>
      </c>
      <c r="K7" s="1" t="s">
        <v>272</v>
      </c>
    </row>
    <row r="8" spans="1:15" x14ac:dyDescent="0.25">
      <c r="A8" t="s">
        <v>273</v>
      </c>
      <c r="C8" t="s">
        <v>23</v>
      </c>
      <c r="D8" t="s">
        <v>24</v>
      </c>
      <c r="E8" t="s">
        <v>63</v>
      </c>
      <c r="F8">
        <v>2</v>
      </c>
      <c r="G8" t="s">
        <v>53</v>
      </c>
      <c r="H8" t="s">
        <v>27</v>
      </c>
      <c r="I8">
        <v>1</v>
      </c>
      <c r="J8">
        <v>3</v>
      </c>
      <c r="K8" s="1" t="s">
        <v>274</v>
      </c>
    </row>
    <row r="9" spans="1:15" ht="36.75" x14ac:dyDescent="0.25">
      <c r="A9" t="s">
        <v>275</v>
      </c>
      <c r="B9" t="s">
        <v>22</v>
      </c>
      <c r="C9" t="s">
        <v>23</v>
      </c>
      <c r="D9" t="s">
        <v>24</v>
      </c>
      <c r="E9" t="s">
        <v>196</v>
      </c>
      <c r="F9">
        <v>10</v>
      </c>
      <c r="G9" t="s">
        <v>26</v>
      </c>
      <c r="H9" t="s">
        <v>276</v>
      </c>
      <c r="I9">
        <v>9</v>
      </c>
      <c r="J9">
        <v>2</v>
      </c>
      <c r="K9" s="1" t="s">
        <v>277</v>
      </c>
    </row>
    <row r="10" spans="1:15" ht="48.75" x14ac:dyDescent="0.25">
      <c r="A10" t="s">
        <v>278</v>
      </c>
      <c r="B10" t="s">
        <v>22</v>
      </c>
      <c r="C10" t="s">
        <v>80</v>
      </c>
      <c r="D10" t="s">
        <v>24</v>
      </c>
      <c r="E10" t="s">
        <v>25</v>
      </c>
      <c r="F10">
        <v>1</v>
      </c>
      <c r="G10" t="s">
        <v>26</v>
      </c>
      <c r="H10" t="s">
        <v>279</v>
      </c>
      <c r="I10">
        <v>1</v>
      </c>
      <c r="J10">
        <v>1</v>
      </c>
      <c r="K10" s="1" t="s">
        <v>280</v>
      </c>
    </row>
    <row r="11" spans="1:15" ht="24.75" x14ac:dyDescent="0.25">
      <c r="A11" t="s">
        <v>281</v>
      </c>
      <c r="C11" t="s">
        <v>23</v>
      </c>
      <c r="D11" t="s">
        <v>24</v>
      </c>
      <c r="E11" t="s">
        <v>243</v>
      </c>
      <c r="F11">
        <v>5</v>
      </c>
      <c r="G11" t="s">
        <v>107</v>
      </c>
      <c r="H11" t="s">
        <v>282</v>
      </c>
      <c r="I11">
        <v>4</v>
      </c>
      <c r="J11">
        <v>6</v>
      </c>
      <c r="K11" s="1" t="s">
        <v>283</v>
      </c>
    </row>
    <row r="12" spans="1:15" ht="36.75" x14ac:dyDescent="0.25">
      <c r="A12" t="s">
        <v>284</v>
      </c>
      <c r="C12" t="s">
        <v>31</v>
      </c>
      <c r="D12" t="s">
        <v>24</v>
      </c>
      <c r="E12" t="s">
        <v>285</v>
      </c>
      <c r="F12">
        <v>10</v>
      </c>
      <c r="J12">
        <v>0</v>
      </c>
      <c r="K12" s="1" t="s">
        <v>286</v>
      </c>
    </row>
    <row r="13" spans="1:15" ht="48.75" x14ac:dyDescent="0.25">
      <c r="A13" t="s">
        <v>287</v>
      </c>
      <c r="C13" t="s">
        <v>31</v>
      </c>
      <c r="D13" t="s">
        <v>24</v>
      </c>
      <c r="E13" t="s">
        <v>288</v>
      </c>
      <c r="F13">
        <v>6</v>
      </c>
      <c r="H13" t="s">
        <v>33</v>
      </c>
      <c r="J13">
        <v>0</v>
      </c>
      <c r="K13" s="1" t="s">
        <v>289</v>
      </c>
    </row>
    <row r="14" spans="1:15" ht="36.75" x14ac:dyDescent="0.25">
      <c r="A14" t="s">
        <v>290</v>
      </c>
      <c r="C14" t="s">
        <v>23</v>
      </c>
      <c r="D14" t="s">
        <v>24</v>
      </c>
      <c r="E14" t="s">
        <v>291</v>
      </c>
      <c r="F14">
        <v>4</v>
      </c>
      <c r="G14" t="s">
        <v>107</v>
      </c>
      <c r="H14" t="s">
        <v>27</v>
      </c>
      <c r="I14">
        <v>7</v>
      </c>
      <c r="J14">
        <v>4</v>
      </c>
      <c r="K14" s="1" t="s">
        <v>292</v>
      </c>
    </row>
    <row r="15" spans="1:15" ht="36.75" x14ac:dyDescent="0.25">
      <c r="A15" t="s">
        <v>293</v>
      </c>
      <c r="C15" t="s">
        <v>31</v>
      </c>
      <c r="D15" t="s">
        <v>24</v>
      </c>
      <c r="E15" t="s">
        <v>294</v>
      </c>
      <c r="F15">
        <v>1</v>
      </c>
      <c r="J15">
        <v>1</v>
      </c>
      <c r="K15" s="1" t="s">
        <v>295</v>
      </c>
    </row>
    <row r="16" spans="1:15" ht="36.75" x14ac:dyDescent="0.25">
      <c r="A16" t="s">
        <v>296</v>
      </c>
      <c r="C16" t="s">
        <v>80</v>
      </c>
      <c r="D16" t="s">
        <v>24</v>
      </c>
      <c r="E16" t="s">
        <v>297</v>
      </c>
      <c r="F16">
        <v>15</v>
      </c>
      <c r="G16" t="s">
        <v>298</v>
      </c>
      <c r="H16" t="s">
        <v>299</v>
      </c>
      <c r="I16">
        <v>10</v>
      </c>
      <c r="J16">
        <v>6</v>
      </c>
      <c r="K16" s="1" t="s">
        <v>300</v>
      </c>
    </row>
    <row r="17" spans="1:11" ht="24.75" x14ac:dyDescent="0.25">
      <c r="A17" t="s">
        <v>301</v>
      </c>
      <c r="C17" t="s">
        <v>23</v>
      </c>
      <c r="D17" t="s">
        <v>24</v>
      </c>
      <c r="E17" t="s">
        <v>106</v>
      </c>
      <c r="F17">
        <v>3</v>
      </c>
      <c r="G17" t="s">
        <v>107</v>
      </c>
      <c r="H17" t="s">
        <v>74</v>
      </c>
      <c r="I17">
        <v>2</v>
      </c>
      <c r="J17">
        <v>4</v>
      </c>
      <c r="K17" s="1" t="s">
        <v>302</v>
      </c>
    </row>
    <row r="18" spans="1:11" x14ac:dyDescent="0.25">
      <c r="A18" t="s">
        <v>303</v>
      </c>
      <c r="C18" t="s">
        <v>23</v>
      </c>
      <c r="D18" t="s">
        <v>24</v>
      </c>
      <c r="E18" t="s">
        <v>37</v>
      </c>
      <c r="F18">
        <v>2</v>
      </c>
      <c r="G18" t="s">
        <v>298</v>
      </c>
      <c r="H18" t="s">
        <v>69</v>
      </c>
      <c r="I18">
        <v>4</v>
      </c>
      <c r="J18">
        <v>0</v>
      </c>
      <c r="K18" s="1" t="s">
        <v>304</v>
      </c>
    </row>
    <row r="19" spans="1:11" ht="48.75" x14ac:dyDescent="0.25">
      <c r="A19" t="s">
        <v>305</v>
      </c>
      <c r="B19" t="s">
        <v>62</v>
      </c>
      <c r="C19" t="s">
        <v>23</v>
      </c>
      <c r="D19" t="s">
        <v>24</v>
      </c>
      <c r="E19" t="s">
        <v>47</v>
      </c>
      <c r="F19">
        <v>6</v>
      </c>
      <c r="G19" t="s">
        <v>219</v>
      </c>
      <c r="H19" t="s">
        <v>306</v>
      </c>
      <c r="I19">
        <v>5</v>
      </c>
      <c r="J19">
        <v>5</v>
      </c>
      <c r="K19" s="1" t="s">
        <v>307</v>
      </c>
    </row>
    <row r="20" spans="1:11" ht="36.75" x14ac:dyDescent="0.25">
      <c r="A20" t="s">
        <v>308</v>
      </c>
      <c r="C20" t="s">
        <v>23</v>
      </c>
      <c r="D20" t="s">
        <v>24</v>
      </c>
      <c r="E20" t="s">
        <v>309</v>
      </c>
      <c r="F20">
        <v>3</v>
      </c>
      <c r="G20" t="s">
        <v>107</v>
      </c>
      <c r="H20" t="s">
        <v>27</v>
      </c>
      <c r="I20">
        <v>0</v>
      </c>
      <c r="J20">
        <v>0</v>
      </c>
      <c r="K20" s="1" t="s">
        <v>310</v>
      </c>
    </row>
    <row r="21" spans="1:11" ht="24.75" x14ac:dyDescent="0.25">
      <c r="A21" t="s">
        <v>311</v>
      </c>
      <c r="C21" t="s">
        <v>56</v>
      </c>
      <c r="D21" t="s">
        <v>24</v>
      </c>
      <c r="F21">
        <v>60</v>
      </c>
      <c r="J21">
        <v>0</v>
      </c>
      <c r="K21" s="1" t="s">
        <v>312</v>
      </c>
    </row>
    <row r="22" spans="1:11" ht="36.75" x14ac:dyDescent="0.25">
      <c r="A22" t="s">
        <v>313</v>
      </c>
      <c r="C22" t="s">
        <v>80</v>
      </c>
      <c r="D22" t="s">
        <v>24</v>
      </c>
      <c r="E22" t="s">
        <v>218</v>
      </c>
      <c r="F22">
        <v>5</v>
      </c>
      <c r="G22" t="s">
        <v>219</v>
      </c>
      <c r="H22" t="s">
        <v>314</v>
      </c>
      <c r="I22">
        <v>2</v>
      </c>
      <c r="J22">
        <v>4</v>
      </c>
      <c r="K22" s="1" t="s">
        <v>315</v>
      </c>
    </row>
    <row r="23" spans="1:11" x14ac:dyDescent="0.25">
      <c r="A23" t="s">
        <v>316</v>
      </c>
      <c r="C23" t="s">
        <v>23</v>
      </c>
      <c r="D23" t="s">
        <v>24</v>
      </c>
      <c r="E23" t="s">
        <v>317</v>
      </c>
    </row>
    <row r="24" spans="1:11" x14ac:dyDescent="0.25">
      <c r="A24" t="s">
        <v>318</v>
      </c>
      <c r="C24" t="s">
        <v>23</v>
      </c>
      <c r="D24" t="s">
        <v>24</v>
      </c>
      <c r="E24" t="s">
        <v>114</v>
      </c>
      <c r="F24">
        <v>5</v>
      </c>
      <c r="G24" t="s">
        <v>298</v>
      </c>
      <c r="H24" t="s">
        <v>161</v>
      </c>
      <c r="I24">
        <v>4</v>
      </c>
      <c r="J24">
        <v>4</v>
      </c>
      <c r="K24" s="1" t="s">
        <v>204</v>
      </c>
    </row>
    <row r="25" spans="1:11" x14ac:dyDescent="0.25">
      <c r="A25" t="s">
        <v>319</v>
      </c>
      <c r="C25" t="s">
        <v>23</v>
      </c>
      <c r="D25" t="s">
        <v>24</v>
      </c>
      <c r="E25" t="s">
        <v>37</v>
      </c>
      <c r="F25">
        <v>7</v>
      </c>
      <c r="G25" t="s">
        <v>298</v>
      </c>
      <c r="H25" t="s">
        <v>27</v>
      </c>
      <c r="I25">
        <v>4</v>
      </c>
      <c r="J25">
        <v>4</v>
      </c>
    </row>
    <row r="26" spans="1:11" ht="24.75" x14ac:dyDescent="0.25">
      <c r="A26" t="s">
        <v>320</v>
      </c>
      <c r="C26" t="s">
        <v>31</v>
      </c>
      <c r="D26" t="s">
        <v>24</v>
      </c>
      <c r="E26" t="s">
        <v>91</v>
      </c>
      <c r="F26">
        <v>6</v>
      </c>
      <c r="J26">
        <v>0</v>
      </c>
      <c r="K26" s="1" t="s">
        <v>321</v>
      </c>
    </row>
    <row r="27" spans="1:11" ht="60.75" x14ac:dyDescent="0.25">
      <c r="A27" t="s">
        <v>322</v>
      </c>
      <c r="C27" t="s">
        <v>23</v>
      </c>
      <c r="D27" t="s">
        <v>24</v>
      </c>
      <c r="E27" t="s">
        <v>246</v>
      </c>
      <c r="F27">
        <v>3</v>
      </c>
      <c r="G27" t="s">
        <v>323</v>
      </c>
      <c r="H27" t="s">
        <v>238</v>
      </c>
      <c r="I27">
        <v>1</v>
      </c>
      <c r="J27">
        <v>0</v>
      </c>
      <c r="K27" s="1" t="s">
        <v>324</v>
      </c>
    </row>
    <row r="28" spans="1:11" ht="24.75" x14ac:dyDescent="0.25">
      <c r="A28" t="s">
        <v>325</v>
      </c>
      <c r="C28" t="s">
        <v>23</v>
      </c>
      <c r="D28" t="s">
        <v>24</v>
      </c>
      <c r="E28" t="s">
        <v>326</v>
      </c>
      <c r="F28">
        <v>3</v>
      </c>
      <c r="G28" t="s">
        <v>53</v>
      </c>
      <c r="H28" t="s">
        <v>27</v>
      </c>
      <c r="I28">
        <v>5</v>
      </c>
      <c r="J28">
        <v>2</v>
      </c>
      <c r="K28" s="1" t="s">
        <v>327</v>
      </c>
    </row>
    <row r="29" spans="1:11" ht="36.75" x14ac:dyDescent="0.25">
      <c r="A29" t="s">
        <v>328</v>
      </c>
      <c r="C29" t="s">
        <v>15</v>
      </c>
      <c r="D29" t="s">
        <v>46</v>
      </c>
      <c r="K29" s="1" t="s">
        <v>329</v>
      </c>
    </row>
    <row r="30" spans="1:11" ht="24.75" x14ac:dyDescent="0.25">
      <c r="A30" t="s">
        <v>330</v>
      </c>
      <c r="C30" t="s">
        <v>15</v>
      </c>
      <c r="D30" t="s">
        <v>46</v>
      </c>
      <c r="K30" s="1" t="s">
        <v>331</v>
      </c>
    </row>
    <row r="31" spans="1:11" x14ac:dyDescent="0.25">
      <c r="A31" t="s">
        <v>332</v>
      </c>
      <c r="C31" t="s">
        <v>23</v>
      </c>
      <c r="D31" t="s">
        <v>24</v>
      </c>
      <c r="E31" t="s">
        <v>333</v>
      </c>
      <c r="F31">
        <v>10</v>
      </c>
      <c r="H31" t="s">
        <v>27</v>
      </c>
      <c r="I31">
        <v>0</v>
      </c>
      <c r="J31">
        <v>2</v>
      </c>
      <c r="K31" s="1" t="s">
        <v>334</v>
      </c>
    </row>
    <row r="32" spans="1:11" x14ac:dyDescent="0.25">
      <c r="A32" t="s">
        <v>335</v>
      </c>
      <c r="C32" t="s">
        <v>23</v>
      </c>
      <c r="D32" t="s">
        <v>24</v>
      </c>
      <c r="E32" t="s">
        <v>37</v>
      </c>
      <c r="F32">
        <v>3</v>
      </c>
      <c r="I32">
        <v>7</v>
      </c>
      <c r="J32">
        <v>4</v>
      </c>
    </row>
    <row r="33" spans="1:11" ht="36.75" x14ac:dyDescent="0.25">
      <c r="A33" t="s">
        <v>336</v>
      </c>
      <c r="C33" t="s">
        <v>31</v>
      </c>
      <c r="D33" t="s">
        <v>24</v>
      </c>
      <c r="E33" t="s">
        <v>337</v>
      </c>
      <c r="F33">
        <v>1</v>
      </c>
      <c r="G33" t="s">
        <v>219</v>
      </c>
      <c r="J33">
        <v>0</v>
      </c>
      <c r="K33" s="1" t="s">
        <v>338</v>
      </c>
    </row>
    <row r="34" spans="1:11" x14ac:dyDescent="0.25">
      <c r="A34" t="s">
        <v>339</v>
      </c>
      <c r="B34" t="s">
        <v>22</v>
      </c>
      <c r="C34" t="s">
        <v>23</v>
      </c>
      <c r="D34" t="s">
        <v>24</v>
      </c>
      <c r="E34" t="s">
        <v>114</v>
      </c>
      <c r="F34">
        <v>10</v>
      </c>
      <c r="G34" t="s">
        <v>26</v>
      </c>
      <c r="H34" t="s">
        <v>340</v>
      </c>
      <c r="I34">
        <v>2</v>
      </c>
      <c r="J34">
        <v>2</v>
      </c>
      <c r="K34" s="1" t="s">
        <v>341</v>
      </c>
    </row>
    <row r="35" spans="1:11" ht="60.75" x14ac:dyDescent="0.25">
      <c r="A35" t="s">
        <v>342</v>
      </c>
      <c r="C35" t="s">
        <v>31</v>
      </c>
      <c r="D35" t="s">
        <v>24</v>
      </c>
      <c r="E35" t="s">
        <v>114</v>
      </c>
      <c r="F35">
        <v>3</v>
      </c>
      <c r="G35" t="s">
        <v>219</v>
      </c>
      <c r="J35">
        <v>0</v>
      </c>
      <c r="K35" s="1" t="s">
        <v>343</v>
      </c>
    </row>
    <row r="36" spans="1:11" ht="24.75" x14ac:dyDescent="0.25">
      <c r="A36" t="s">
        <v>344</v>
      </c>
      <c r="C36" t="s">
        <v>15</v>
      </c>
      <c r="D36" t="s">
        <v>16</v>
      </c>
      <c r="E36" t="s">
        <v>345</v>
      </c>
      <c r="H36" t="s">
        <v>18</v>
      </c>
      <c r="K36" s="1" t="s">
        <v>346</v>
      </c>
    </row>
    <row r="37" spans="1:11" ht="24.75" x14ac:dyDescent="0.25">
      <c r="A37" t="s">
        <v>347</v>
      </c>
      <c r="C37" t="s">
        <v>23</v>
      </c>
      <c r="D37" t="s">
        <v>24</v>
      </c>
      <c r="E37" t="s">
        <v>348</v>
      </c>
      <c r="F37">
        <v>5</v>
      </c>
      <c r="G37" t="s">
        <v>38</v>
      </c>
      <c r="H37" t="s">
        <v>69</v>
      </c>
      <c r="I37">
        <v>3</v>
      </c>
      <c r="J37">
        <v>0</v>
      </c>
      <c r="K37" s="1" t="s">
        <v>349</v>
      </c>
    </row>
    <row r="38" spans="1:11" ht="24.75" x14ac:dyDescent="0.25">
      <c r="A38" t="s">
        <v>350</v>
      </c>
      <c r="C38" t="s">
        <v>15</v>
      </c>
      <c r="D38" t="s">
        <v>46</v>
      </c>
      <c r="E38" t="s">
        <v>77</v>
      </c>
      <c r="H38" t="s">
        <v>18</v>
      </c>
      <c r="K38" s="1" t="s">
        <v>351</v>
      </c>
    </row>
    <row r="39" spans="1:11" x14ac:dyDescent="0.25">
      <c r="A39" t="s">
        <v>352</v>
      </c>
      <c r="B39" t="s">
        <v>58</v>
      </c>
      <c r="C39" t="s">
        <v>23</v>
      </c>
      <c r="D39" t="s">
        <v>24</v>
      </c>
      <c r="E39" t="s">
        <v>353</v>
      </c>
      <c r="F39">
        <v>4</v>
      </c>
      <c r="G39" t="s">
        <v>298</v>
      </c>
      <c r="H39" t="s">
        <v>69</v>
      </c>
      <c r="I39">
        <v>8</v>
      </c>
      <c r="J39">
        <v>4</v>
      </c>
      <c r="K39" s="1" t="s">
        <v>354</v>
      </c>
    </row>
    <row r="40" spans="1:11" x14ac:dyDescent="0.25">
      <c r="A40" t="s">
        <v>355</v>
      </c>
      <c r="C40" t="s">
        <v>31</v>
      </c>
      <c r="D40" t="s">
        <v>24</v>
      </c>
      <c r="E40" t="s">
        <v>157</v>
      </c>
      <c r="F40">
        <v>3</v>
      </c>
      <c r="H40" t="s">
        <v>33</v>
      </c>
      <c r="J40">
        <v>0</v>
      </c>
      <c r="K40" s="1" t="s">
        <v>356</v>
      </c>
    </row>
    <row r="41" spans="1:11" ht="24.75" x14ac:dyDescent="0.25">
      <c r="A41" t="s">
        <v>357</v>
      </c>
      <c r="B41" t="s">
        <v>133</v>
      </c>
      <c r="C41" t="s">
        <v>23</v>
      </c>
      <c r="D41" t="s">
        <v>16</v>
      </c>
      <c r="E41" t="s">
        <v>358</v>
      </c>
      <c r="F41">
        <v>5</v>
      </c>
      <c r="G41" t="s">
        <v>142</v>
      </c>
      <c r="H41" t="s">
        <v>359</v>
      </c>
      <c r="I41">
        <v>8</v>
      </c>
      <c r="J41">
        <v>3</v>
      </c>
      <c r="K41" s="1" t="s">
        <v>360</v>
      </c>
    </row>
    <row r="42" spans="1:11" ht="24.75" x14ac:dyDescent="0.25">
      <c r="A42" t="s">
        <v>361</v>
      </c>
      <c r="B42" t="s">
        <v>133</v>
      </c>
      <c r="C42" t="s">
        <v>56</v>
      </c>
      <c r="D42" t="s">
        <v>24</v>
      </c>
      <c r="F42">
        <v>50</v>
      </c>
      <c r="J42">
        <v>1</v>
      </c>
      <c r="K42" s="1" t="s">
        <v>362</v>
      </c>
    </row>
    <row r="43" spans="1:11" x14ac:dyDescent="0.25">
      <c r="A43" t="s">
        <v>363</v>
      </c>
      <c r="B43" t="s">
        <v>58</v>
      </c>
      <c r="C43" t="s">
        <v>80</v>
      </c>
      <c r="D43" t="s">
        <v>24</v>
      </c>
      <c r="E43" t="s">
        <v>364</v>
      </c>
      <c r="F43">
        <v>5</v>
      </c>
      <c r="G43" t="s">
        <v>38</v>
      </c>
      <c r="H43" t="s">
        <v>365</v>
      </c>
      <c r="I43">
        <v>4</v>
      </c>
      <c r="J43">
        <v>5</v>
      </c>
      <c r="K43" s="1" t="s">
        <v>366</v>
      </c>
    </row>
    <row r="44" spans="1:11" ht="36.75" x14ac:dyDescent="0.25">
      <c r="A44" t="s">
        <v>367</v>
      </c>
      <c r="B44" t="s">
        <v>58</v>
      </c>
      <c r="C44" t="s">
        <v>23</v>
      </c>
      <c r="D44" t="s">
        <v>24</v>
      </c>
      <c r="E44" t="s">
        <v>17</v>
      </c>
      <c r="F44">
        <v>4</v>
      </c>
      <c r="G44" t="s">
        <v>38</v>
      </c>
      <c r="H44" t="s">
        <v>69</v>
      </c>
      <c r="I44">
        <v>5</v>
      </c>
      <c r="J44">
        <v>4</v>
      </c>
      <c r="K44" s="1" t="s">
        <v>368</v>
      </c>
    </row>
    <row r="45" spans="1:11" x14ac:dyDescent="0.25">
      <c r="A45" t="s">
        <v>369</v>
      </c>
      <c r="B45" t="s">
        <v>22</v>
      </c>
      <c r="C45" t="s">
        <v>23</v>
      </c>
      <c r="D45" t="s">
        <v>24</v>
      </c>
      <c r="E45" t="s">
        <v>370</v>
      </c>
      <c r="F45">
        <v>4</v>
      </c>
      <c r="G45" t="s">
        <v>107</v>
      </c>
      <c r="H45" t="s">
        <v>371</v>
      </c>
      <c r="I45">
        <v>14</v>
      </c>
      <c r="J45">
        <v>14</v>
      </c>
    </row>
    <row r="46" spans="1:11" ht="36.75" x14ac:dyDescent="0.25">
      <c r="A46" t="s">
        <v>372</v>
      </c>
      <c r="C46" t="s">
        <v>15</v>
      </c>
      <c r="D46" t="s">
        <v>24</v>
      </c>
      <c r="E46" t="s">
        <v>111</v>
      </c>
      <c r="K46" s="1" t="s">
        <v>373</v>
      </c>
    </row>
    <row r="47" spans="1:11" x14ac:dyDescent="0.25">
      <c r="A47" t="s">
        <v>374</v>
      </c>
      <c r="C47" t="s">
        <v>15</v>
      </c>
      <c r="D47" t="s">
        <v>46</v>
      </c>
      <c r="E47" t="s">
        <v>326</v>
      </c>
      <c r="K47" s="1" t="s">
        <v>375</v>
      </c>
    </row>
    <row r="48" spans="1:11" x14ac:dyDescent="0.25">
      <c r="A48" t="s">
        <v>376</v>
      </c>
      <c r="C48" t="s">
        <v>31</v>
      </c>
      <c r="D48" t="s">
        <v>24</v>
      </c>
      <c r="E48" t="s">
        <v>285</v>
      </c>
      <c r="F48">
        <v>5</v>
      </c>
      <c r="H48" t="s">
        <v>33</v>
      </c>
      <c r="J48">
        <v>3</v>
      </c>
      <c r="K48" s="1" t="s">
        <v>334</v>
      </c>
    </row>
    <row r="49" spans="1:15" ht="24.75" x14ac:dyDescent="0.25">
      <c r="A49" t="s">
        <v>377</v>
      </c>
      <c r="C49" t="s">
        <v>80</v>
      </c>
      <c r="D49" t="s">
        <v>24</v>
      </c>
      <c r="E49" t="s">
        <v>378</v>
      </c>
      <c r="F49">
        <v>40</v>
      </c>
      <c r="G49" t="s">
        <v>379</v>
      </c>
      <c r="H49" t="s">
        <v>130</v>
      </c>
      <c r="I49">
        <v>5</v>
      </c>
      <c r="J49">
        <v>0</v>
      </c>
      <c r="K49" s="1" t="s">
        <v>380</v>
      </c>
    </row>
    <row r="50" spans="1:15" ht="24.75" x14ac:dyDescent="0.25">
      <c r="A50" t="s">
        <v>381</v>
      </c>
      <c r="C50" t="s">
        <v>15</v>
      </c>
      <c r="D50" t="s">
        <v>24</v>
      </c>
      <c r="E50" t="s">
        <v>246</v>
      </c>
      <c r="H50" t="s">
        <v>18</v>
      </c>
      <c r="K50" s="1" t="s">
        <v>382</v>
      </c>
    </row>
    <row r="51" spans="1:15" ht="48.75" x14ac:dyDescent="0.25">
      <c r="A51" t="s">
        <v>383</v>
      </c>
      <c r="C51" t="s">
        <v>15</v>
      </c>
      <c r="D51" t="s">
        <v>24</v>
      </c>
      <c r="K51" s="1" t="s">
        <v>384</v>
      </c>
    </row>
    <row r="52" spans="1:15" x14ac:dyDescent="0.25">
      <c r="A52" t="s">
        <v>385</v>
      </c>
      <c r="B52" t="s">
        <v>133</v>
      </c>
      <c r="C52" t="s">
        <v>23</v>
      </c>
      <c r="D52" t="s">
        <v>24</v>
      </c>
      <c r="E52" t="s">
        <v>91</v>
      </c>
      <c r="F52">
        <v>6</v>
      </c>
      <c r="G52" t="s">
        <v>142</v>
      </c>
      <c r="H52" t="s">
        <v>27</v>
      </c>
      <c r="I52">
        <v>6</v>
      </c>
      <c r="J52">
        <v>2</v>
      </c>
      <c r="K52" s="1" t="s">
        <v>386</v>
      </c>
    </row>
    <row r="53" spans="1:15" x14ac:dyDescent="0.25">
      <c r="A53" t="s">
        <v>387</v>
      </c>
      <c r="C53" t="s">
        <v>15</v>
      </c>
      <c r="D53" t="s">
        <v>24</v>
      </c>
      <c r="E53" t="s">
        <v>111</v>
      </c>
      <c r="K53" s="1" t="s">
        <v>388</v>
      </c>
    </row>
    <row r="54" spans="1:15" ht="24.75" x14ac:dyDescent="0.25">
      <c r="A54" t="s">
        <v>389</v>
      </c>
      <c r="B54" t="s">
        <v>58</v>
      </c>
      <c r="C54" t="s">
        <v>15</v>
      </c>
      <c r="D54" t="s">
        <v>46</v>
      </c>
      <c r="E54" t="s">
        <v>103</v>
      </c>
      <c r="K54" s="1" t="s">
        <v>390</v>
      </c>
    </row>
    <row r="55" spans="1:15" x14ac:dyDescent="0.25">
      <c r="A55" t="s">
        <v>391</v>
      </c>
      <c r="B55" t="s">
        <v>133</v>
      </c>
      <c r="C55" t="s">
        <v>15</v>
      </c>
      <c r="D55" t="s">
        <v>46</v>
      </c>
      <c r="E55" t="s">
        <v>218</v>
      </c>
      <c r="K55" s="1" t="s">
        <v>392</v>
      </c>
    </row>
    <row r="56" spans="1:15" ht="48.75" x14ac:dyDescent="0.25">
      <c r="A56" t="s">
        <v>393</v>
      </c>
      <c r="B56" t="s">
        <v>22</v>
      </c>
      <c r="C56" t="s">
        <v>15</v>
      </c>
      <c r="D56" t="s">
        <v>16</v>
      </c>
      <c r="E56" t="s">
        <v>394</v>
      </c>
      <c r="K56" s="1" t="s">
        <v>395</v>
      </c>
    </row>
    <row r="57" spans="1:15" x14ac:dyDescent="0.25">
      <c r="A57" t="s">
        <v>396</v>
      </c>
      <c r="B57" t="s">
        <v>133</v>
      </c>
      <c r="C57" t="s">
        <v>15</v>
      </c>
      <c r="D57" t="s">
        <v>24</v>
      </c>
      <c r="E57" t="s">
        <v>285</v>
      </c>
      <c r="H57" t="s">
        <v>18</v>
      </c>
      <c r="K57" s="1" t="s">
        <v>397</v>
      </c>
    </row>
    <row r="58" spans="1:15" ht="24.75" x14ac:dyDescent="0.25">
      <c r="A58" t="s">
        <v>398</v>
      </c>
      <c r="C58" t="s">
        <v>23</v>
      </c>
      <c r="D58" t="s">
        <v>24</v>
      </c>
      <c r="E58" t="s">
        <v>394</v>
      </c>
      <c r="F58">
        <v>7</v>
      </c>
      <c r="G58" t="s">
        <v>107</v>
      </c>
      <c r="H58" t="s">
        <v>27</v>
      </c>
      <c r="I58">
        <v>8</v>
      </c>
      <c r="J58">
        <v>4</v>
      </c>
      <c r="K58" s="1" t="s">
        <v>399</v>
      </c>
    </row>
    <row r="59" spans="1:15" ht="36.75" x14ac:dyDescent="0.25">
      <c r="A59" t="s">
        <v>400</v>
      </c>
      <c r="B59" t="s">
        <v>58</v>
      </c>
      <c r="C59" t="s">
        <v>80</v>
      </c>
      <c r="D59" t="s">
        <v>24</v>
      </c>
      <c r="E59" t="s">
        <v>401</v>
      </c>
      <c r="F59">
        <v>7</v>
      </c>
      <c r="G59" t="s">
        <v>53</v>
      </c>
      <c r="H59" t="s">
        <v>95</v>
      </c>
      <c r="I59">
        <v>5</v>
      </c>
      <c r="J59">
        <v>5</v>
      </c>
      <c r="K59" s="1" t="s">
        <v>402</v>
      </c>
    </row>
    <row r="60" spans="1:15" ht="24.75" x14ac:dyDescent="0.25">
      <c r="A60" t="s">
        <v>403</v>
      </c>
      <c r="B60" t="s">
        <v>62</v>
      </c>
      <c r="C60" t="s">
        <v>23</v>
      </c>
      <c r="D60" t="s">
        <v>24</v>
      </c>
      <c r="E60" t="s">
        <v>404</v>
      </c>
      <c r="F60">
        <v>3</v>
      </c>
      <c r="G60" t="s">
        <v>53</v>
      </c>
      <c r="H60" t="s">
        <v>39</v>
      </c>
      <c r="I60">
        <v>7</v>
      </c>
      <c r="J60">
        <v>0</v>
      </c>
      <c r="K60" s="1" t="s">
        <v>405</v>
      </c>
    </row>
    <row r="61" spans="1:15" ht="60" x14ac:dyDescent="0.25">
      <c r="A61" t="s">
        <v>406</v>
      </c>
      <c r="B61" t="s">
        <v>58</v>
      </c>
      <c r="C61" t="s">
        <v>80</v>
      </c>
      <c r="D61" t="s">
        <v>24</v>
      </c>
      <c r="E61" t="s">
        <v>407</v>
      </c>
      <c r="F61">
        <v>4</v>
      </c>
      <c r="G61" t="s">
        <v>38</v>
      </c>
      <c r="H61" t="s">
        <v>149</v>
      </c>
      <c r="I61">
        <v>12</v>
      </c>
      <c r="J61">
        <v>7</v>
      </c>
      <c r="K61" s="1" t="s">
        <v>408</v>
      </c>
      <c r="O61" s="6" t="s">
        <v>409</v>
      </c>
    </row>
    <row r="62" spans="1:15" ht="48.75" x14ac:dyDescent="0.25">
      <c r="A62" t="s">
        <v>410</v>
      </c>
      <c r="B62" t="s">
        <v>58</v>
      </c>
      <c r="C62" t="s">
        <v>15</v>
      </c>
      <c r="D62" t="s">
        <v>24</v>
      </c>
      <c r="E62" t="s">
        <v>114</v>
      </c>
      <c r="K62" s="1" t="s">
        <v>411</v>
      </c>
    </row>
    <row r="63" spans="1:15" ht="36.75" x14ac:dyDescent="0.25">
      <c r="A63" t="s">
        <v>412</v>
      </c>
      <c r="C63" t="s">
        <v>15</v>
      </c>
      <c r="D63" t="s">
        <v>16</v>
      </c>
      <c r="K63" s="1" t="s">
        <v>413</v>
      </c>
    </row>
    <row r="64" spans="1:15" ht="60" x14ac:dyDescent="0.25">
      <c r="A64" t="s">
        <v>414</v>
      </c>
      <c r="C64" t="s">
        <v>80</v>
      </c>
      <c r="D64" t="s">
        <v>24</v>
      </c>
      <c r="E64" t="s">
        <v>415</v>
      </c>
      <c r="F64">
        <v>15</v>
      </c>
      <c r="G64" t="s">
        <v>26</v>
      </c>
      <c r="H64" t="s">
        <v>197</v>
      </c>
      <c r="I64">
        <v>10</v>
      </c>
      <c r="J64">
        <v>4</v>
      </c>
      <c r="K64" s="1" t="s">
        <v>416</v>
      </c>
      <c r="O64" s="6" t="s">
        <v>417</v>
      </c>
    </row>
    <row r="65" spans="1:10" x14ac:dyDescent="0.25">
      <c r="A65" t="s">
        <v>418</v>
      </c>
      <c r="C65" t="s">
        <v>31</v>
      </c>
      <c r="D65" t="s">
        <v>24</v>
      </c>
      <c r="E65" t="s">
        <v>419</v>
      </c>
      <c r="F65">
        <v>12</v>
      </c>
      <c r="H65" t="s">
        <v>33</v>
      </c>
      <c r="I65">
        <v>0</v>
      </c>
      <c r="J65">
        <v>3</v>
      </c>
    </row>
    <row r="66" spans="1:10" x14ac:dyDescent="0.25">
      <c r="A66" s="7" t="s">
        <v>420</v>
      </c>
      <c r="C66" t="s">
        <v>23</v>
      </c>
      <c r="D66" t="s">
        <v>24</v>
      </c>
      <c r="E66" t="s">
        <v>114</v>
      </c>
      <c r="G66" t="s">
        <v>219</v>
      </c>
      <c r="H66" t="s">
        <v>27</v>
      </c>
    </row>
    <row r="67" spans="1:10" x14ac:dyDescent="0.25">
      <c r="A67" s="7" t="s">
        <v>421</v>
      </c>
      <c r="C67" t="s">
        <v>80</v>
      </c>
      <c r="D67" t="s">
        <v>24</v>
      </c>
      <c r="G67" t="s">
        <v>219</v>
      </c>
      <c r="H67" t="s">
        <v>422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B7C54-2039-4F68-89DC-F983A17B7C9B}">
  <dimension ref="A1:F72"/>
  <sheetViews>
    <sheetView workbookViewId="0">
      <selection sqref="A1:D72"/>
    </sheetView>
  </sheetViews>
  <sheetFormatPr defaultRowHeight="15" x14ac:dyDescent="0.25"/>
  <cols>
    <col min="1" max="1" width="25.7109375" bestFit="1" customWidth="1"/>
    <col min="2" max="2" width="9.7109375" bestFit="1" customWidth="1"/>
    <col min="3" max="3" width="15.28515625" bestFit="1" customWidth="1"/>
    <col min="4" max="4" width="10.140625" bestFit="1" customWidth="1"/>
    <col min="5" max="5" width="9.7109375" bestFit="1" customWidth="1"/>
    <col min="6" max="6" width="15.28515625" bestFit="1" customWidth="1"/>
  </cols>
  <sheetData>
    <row r="1" spans="1:6" ht="24" x14ac:dyDescent="0.4">
      <c r="A1" s="2" t="s">
        <v>0</v>
      </c>
      <c r="B1" s="2" t="s">
        <v>6</v>
      </c>
      <c r="C1" s="2" t="s">
        <v>7</v>
      </c>
      <c r="D1" s="2" t="s">
        <v>2</v>
      </c>
      <c r="E1" s="2"/>
      <c r="F1" s="2"/>
    </row>
    <row r="2" spans="1:6" x14ac:dyDescent="0.25">
      <c r="A2" t="s">
        <v>245</v>
      </c>
      <c r="B2" t="s">
        <v>225</v>
      </c>
      <c r="C2" t="s">
        <v>247</v>
      </c>
      <c r="D2" t="s">
        <v>23</v>
      </c>
    </row>
    <row r="3" spans="1:6" x14ac:dyDescent="0.25">
      <c r="A3" t="s">
        <v>61</v>
      </c>
      <c r="B3" t="s">
        <v>64</v>
      </c>
      <c r="C3" t="s">
        <v>65</v>
      </c>
      <c r="D3" t="s">
        <v>23</v>
      </c>
    </row>
    <row r="4" spans="1:6" x14ac:dyDescent="0.25">
      <c r="A4" t="s">
        <v>122</v>
      </c>
      <c r="B4" t="s">
        <v>64</v>
      </c>
      <c r="C4" t="s">
        <v>123</v>
      </c>
      <c r="D4" t="s">
        <v>23</v>
      </c>
    </row>
    <row r="5" spans="1:6" x14ac:dyDescent="0.25">
      <c r="A5" t="s">
        <v>203</v>
      </c>
      <c r="B5" t="s">
        <v>64</v>
      </c>
      <c r="C5" t="s">
        <v>161</v>
      </c>
      <c r="D5" t="s">
        <v>23</v>
      </c>
    </row>
    <row r="6" spans="1:6" x14ac:dyDescent="0.25">
      <c r="A6" t="s">
        <v>120</v>
      </c>
      <c r="B6" t="s">
        <v>64</v>
      </c>
      <c r="C6" t="s">
        <v>27</v>
      </c>
      <c r="D6" t="s">
        <v>23</v>
      </c>
    </row>
    <row r="7" spans="1:6" x14ac:dyDescent="0.25">
      <c r="A7" t="s">
        <v>125</v>
      </c>
      <c r="B7" t="s">
        <v>64</v>
      </c>
      <c r="C7" t="s">
        <v>27</v>
      </c>
      <c r="D7" t="s">
        <v>23</v>
      </c>
    </row>
    <row r="8" spans="1:6" x14ac:dyDescent="0.25">
      <c r="A8" t="s">
        <v>184</v>
      </c>
      <c r="B8" t="s">
        <v>64</v>
      </c>
      <c r="C8" t="s">
        <v>27</v>
      </c>
      <c r="D8" t="s">
        <v>23</v>
      </c>
    </row>
    <row r="9" spans="1:6" x14ac:dyDescent="0.25">
      <c r="A9" t="s">
        <v>85</v>
      </c>
      <c r="B9" t="s">
        <v>87</v>
      </c>
      <c r="C9" t="s">
        <v>27</v>
      </c>
      <c r="D9" t="s">
        <v>23</v>
      </c>
    </row>
    <row r="10" spans="1:6" x14ac:dyDescent="0.25">
      <c r="A10" t="s">
        <v>233</v>
      </c>
      <c r="B10" t="s">
        <v>87</v>
      </c>
      <c r="C10" t="s">
        <v>27</v>
      </c>
      <c r="D10" t="s">
        <v>23</v>
      </c>
    </row>
    <row r="11" spans="1:6" x14ac:dyDescent="0.25">
      <c r="A11" t="s">
        <v>36</v>
      </c>
      <c r="B11" t="s">
        <v>38</v>
      </c>
      <c r="C11" t="s">
        <v>39</v>
      </c>
      <c r="D11" t="s">
        <v>23</v>
      </c>
    </row>
    <row r="12" spans="1:6" x14ac:dyDescent="0.25">
      <c r="A12" t="s">
        <v>67</v>
      </c>
      <c r="B12" t="s">
        <v>38</v>
      </c>
      <c r="C12" t="s">
        <v>69</v>
      </c>
      <c r="D12" t="s">
        <v>23</v>
      </c>
    </row>
    <row r="13" spans="1:6" x14ac:dyDescent="0.25">
      <c r="A13" t="s">
        <v>154</v>
      </c>
      <c r="B13" t="s">
        <v>38</v>
      </c>
      <c r="C13" t="s">
        <v>69</v>
      </c>
      <c r="D13" t="s">
        <v>23</v>
      </c>
    </row>
    <row r="14" spans="1:6" x14ac:dyDescent="0.25">
      <c r="A14" t="s">
        <v>188</v>
      </c>
      <c r="B14" t="s">
        <v>38</v>
      </c>
      <c r="C14" t="s">
        <v>74</v>
      </c>
      <c r="D14" t="s">
        <v>23</v>
      </c>
    </row>
    <row r="15" spans="1:6" x14ac:dyDescent="0.25">
      <c r="A15" t="s">
        <v>132</v>
      </c>
      <c r="B15" t="s">
        <v>38</v>
      </c>
      <c r="C15" t="s">
        <v>27</v>
      </c>
      <c r="D15" t="s">
        <v>23</v>
      </c>
    </row>
    <row r="16" spans="1:6" x14ac:dyDescent="0.25">
      <c r="A16" t="s">
        <v>168</v>
      </c>
      <c r="B16" t="s">
        <v>38</v>
      </c>
      <c r="C16" t="s">
        <v>27</v>
      </c>
      <c r="D16" t="s">
        <v>23</v>
      </c>
    </row>
    <row r="17" spans="1:4" x14ac:dyDescent="0.25">
      <c r="A17" t="s">
        <v>171</v>
      </c>
      <c r="B17" t="s">
        <v>38</v>
      </c>
      <c r="C17" t="s">
        <v>27</v>
      </c>
      <c r="D17" t="s">
        <v>23</v>
      </c>
    </row>
    <row r="18" spans="1:4" x14ac:dyDescent="0.25">
      <c r="A18" t="s">
        <v>173</v>
      </c>
      <c r="B18" t="s">
        <v>38</v>
      </c>
      <c r="C18" t="s">
        <v>27</v>
      </c>
      <c r="D18" t="s">
        <v>23</v>
      </c>
    </row>
    <row r="19" spans="1:4" x14ac:dyDescent="0.25">
      <c r="A19" t="s">
        <v>186</v>
      </c>
      <c r="B19" t="s">
        <v>38</v>
      </c>
      <c r="C19" t="s">
        <v>27</v>
      </c>
      <c r="D19" t="s">
        <v>23</v>
      </c>
    </row>
    <row r="20" spans="1:4" x14ac:dyDescent="0.25">
      <c r="A20" t="s">
        <v>159</v>
      </c>
      <c r="B20" t="s">
        <v>26</v>
      </c>
      <c r="C20" t="s">
        <v>161</v>
      </c>
      <c r="D20" t="s">
        <v>23</v>
      </c>
    </row>
    <row r="21" spans="1:4" x14ac:dyDescent="0.25">
      <c r="A21" t="s">
        <v>21</v>
      </c>
      <c r="B21" t="s">
        <v>26</v>
      </c>
      <c r="C21" t="s">
        <v>27</v>
      </c>
      <c r="D21" t="s">
        <v>23</v>
      </c>
    </row>
    <row r="22" spans="1:4" x14ac:dyDescent="0.25">
      <c r="A22" t="s">
        <v>41</v>
      </c>
      <c r="B22" t="s">
        <v>26</v>
      </c>
      <c r="C22" t="s">
        <v>27</v>
      </c>
      <c r="D22" t="s">
        <v>23</v>
      </c>
    </row>
    <row r="23" spans="1:4" x14ac:dyDescent="0.25">
      <c r="A23" t="s">
        <v>49</v>
      </c>
      <c r="B23" t="s">
        <v>26</v>
      </c>
      <c r="C23" t="s">
        <v>27</v>
      </c>
      <c r="D23" t="s">
        <v>23</v>
      </c>
    </row>
    <row r="24" spans="1:4" x14ac:dyDescent="0.25">
      <c r="A24" t="s">
        <v>113</v>
      </c>
      <c r="B24" t="s">
        <v>26</v>
      </c>
      <c r="C24" t="s">
        <v>27</v>
      </c>
      <c r="D24" t="s">
        <v>23</v>
      </c>
    </row>
    <row r="25" spans="1:4" x14ac:dyDescent="0.25">
      <c r="A25" t="s">
        <v>144</v>
      </c>
      <c r="B25" t="s">
        <v>53</v>
      </c>
      <c r="C25" t="s">
        <v>39</v>
      </c>
      <c r="D25" t="s">
        <v>23</v>
      </c>
    </row>
    <row r="26" spans="1:4" x14ac:dyDescent="0.25">
      <c r="A26" t="s">
        <v>209</v>
      </c>
      <c r="B26" t="s">
        <v>53</v>
      </c>
      <c r="C26" t="s">
        <v>74</v>
      </c>
      <c r="D26" t="s">
        <v>23</v>
      </c>
    </row>
    <row r="27" spans="1:4" x14ac:dyDescent="0.25">
      <c r="A27" t="s">
        <v>237</v>
      </c>
      <c r="B27" t="s">
        <v>53</v>
      </c>
      <c r="C27" t="s">
        <v>238</v>
      </c>
      <c r="D27" t="s">
        <v>23</v>
      </c>
    </row>
    <row r="28" spans="1:4" x14ac:dyDescent="0.25">
      <c r="A28" t="s">
        <v>52</v>
      </c>
      <c r="B28" t="s">
        <v>53</v>
      </c>
      <c r="C28" t="s">
        <v>27</v>
      </c>
      <c r="D28" t="s">
        <v>23</v>
      </c>
    </row>
    <row r="29" spans="1:4" x14ac:dyDescent="0.25">
      <c r="A29" t="s">
        <v>57</v>
      </c>
      <c r="B29" t="s">
        <v>53</v>
      </c>
      <c r="C29" t="s">
        <v>27</v>
      </c>
      <c r="D29" t="s">
        <v>23</v>
      </c>
    </row>
    <row r="30" spans="1:4" x14ac:dyDescent="0.25">
      <c r="A30" t="s">
        <v>55</v>
      </c>
      <c r="D30" t="s">
        <v>56</v>
      </c>
    </row>
    <row r="31" spans="1:4" x14ac:dyDescent="0.25">
      <c r="A31" t="s">
        <v>147</v>
      </c>
      <c r="B31" t="s">
        <v>142</v>
      </c>
      <c r="C31" t="s">
        <v>149</v>
      </c>
      <c r="D31" t="s">
        <v>80</v>
      </c>
    </row>
    <row r="32" spans="1:4" x14ac:dyDescent="0.25">
      <c r="A32" t="s">
        <v>116</v>
      </c>
      <c r="B32" t="s">
        <v>64</v>
      </c>
      <c r="C32" t="s">
        <v>118</v>
      </c>
      <c r="D32" t="s">
        <v>80</v>
      </c>
    </row>
    <row r="33" spans="1:4" x14ac:dyDescent="0.25">
      <c r="A33" t="s">
        <v>127</v>
      </c>
      <c r="B33" t="s">
        <v>129</v>
      </c>
      <c r="C33" t="s">
        <v>130</v>
      </c>
      <c r="D33" t="s">
        <v>80</v>
      </c>
    </row>
    <row r="34" spans="1:4" x14ac:dyDescent="0.25">
      <c r="A34" t="s">
        <v>211</v>
      </c>
      <c r="B34" t="s">
        <v>87</v>
      </c>
      <c r="C34" t="s">
        <v>213</v>
      </c>
      <c r="D34" t="s">
        <v>80</v>
      </c>
    </row>
    <row r="35" spans="1:4" x14ac:dyDescent="0.25">
      <c r="A35" t="s">
        <v>79</v>
      </c>
      <c r="B35" t="s">
        <v>38</v>
      </c>
      <c r="C35" t="s">
        <v>82</v>
      </c>
      <c r="D35" t="s">
        <v>80</v>
      </c>
    </row>
    <row r="36" spans="1:4" x14ac:dyDescent="0.25">
      <c r="A36" t="s">
        <v>136</v>
      </c>
      <c r="B36" t="s">
        <v>38</v>
      </c>
      <c r="C36" t="s">
        <v>138</v>
      </c>
      <c r="D36" t="s">
        <v>80</v>
      </c>
    </row>
    <row r="37" spans="1:4" x14ac:dyDescent="0.25">
      <c r="A37" t="s">
        <v>195</v>
      </c>
      <c r="B37" t="s">
        <v>38</v>
      </c>
      <c r="C37" t="s">
        <v>197</v>
      </c>
      <c r="D37" t="s">
        <v>80</v>
      </c>
    </row>
    <row r="38" spans="1:4" x14ac:dyDescent="0.25">
      <c r="A38" t="s">
        <v>217</v>
      </c>
      <c r="B38" t="s">
        <v>38</v>
      </c>
      <c r="C38" t="s">
        <v>220</v>
      </c>
      <c r="D38" t="s">
        <v>80</v>
      </c>
    </row>
    <row r="39" spans="1:4" x14ac:dyDescent="0.25">
      <c r="A39" t="s">
        <v>93</v>
      </c>
      <c r="B39" t="s">
        <v>53</v>
      </c>
      <c r="C39" t="s">
        <v>95</v>
      </c>
      <c r="D39" t="s">
        <v>80</v>
      </c>
    </row>
    <row r="40" spans="1:4" x14ac:dyDescent="0.25">
      <c r="A40" t="s">
        <v>14</v>
      </c>
      <c r="C40" t="s">
        <v>18</v>
      </c>
      <c r="D40" t="s">
        <v>15</v>
      </c>
    </row>
    <row r="41" spans="1:4" x14ac:dyDescent="0.25">
      <c r="A41" t="s">
        <v>45</v>
      </c>
      <c r="C41" t="s">
        <v>18</v>
      </c>
      <c r="D41" t="s">
        <v>15</v>
      </c>
    </row>
    <row r="42" spans="1:4" x14ac:dyDescent="0.25">
      <c r="A42" t="s">
        <v>76</v>
      </c>
      <c r="C42" t="s">
        <v>18</v>
      </c>
      <c r="D42" t="s">
        <v>15</v>
      </c>
    </row>
    <row r="43" spans="1:4" x14ac:dyDescent="0.25">
      <c r="A43" t="s">
        <v>423</v>
      </c>
      <c r="C43" t="s">
        <v>18</v>
      </c>
      <c r="D43" t="s">
        <v>15</v>
      </c>
    </row>
    <row r="44" spans="1:4" x14ac:dyDescent="0.25">
      <c r="A44" t="s">
        <v>240</v>
      </c>
      <c r="C44" t="s">
        <v>18</v>
      </c>
      <c r="D44" t="s">
        <v>15</v>
      </c>
    </row>
    <row r="45" spans="1:4" x14ac:dyDescent="0.25">
      <c r="A45" t="s">
        <v>90</v>
      </c>
      <c r="D45" t="s">
        <v>15</v>
      </c>
    </row>
    <row r="46" spans="1:4" x14ac:dyDescent="0.25">
      <c r="A46" t="s">
        <v>102</v>
      </c>
      <c r="D46" t="s">
        <v>15</v>
      </c>
    </row>
    <row r="47" spans="1:4" x14ac:dyDescent="0.25">
      <c r="A47" t="s">
        <v>152</v>
      </c>
      <c r="D47" t="s">
        <v>15</v>
      </c>
    </row>
    <row r="48" spans="1:4" x14ac:dyDescent="0.25">
      <c r="A48" t="s">
        <v>193</v>
      </c>
      <c r="D48" t="s">
        <v>15</v>
      </c>
    </row>
    <row r="49" spans="1:4" x14ac:dyDescent="0.25">
      <c r="A49" t="s">
        <v>235</v>
      </c>
      <c r="D49" t="s">
        <v>15</v>
      </c>
    </row>
    <row r="50" spans="1:4" x14ac:dyDescent="0.25">
      <c r="A50" t="s">
        <v>30</v>
      </c>
      <c r="C50" t="s">
        <v>33</v>
      </c>
      <c r="D50" t="s">
        <v>31</v>
      </c>
    </row>
    <row r="51" spans="1:4" x14ac:dyDescent="0.25">
      <c r="A51" t="s">
        <v>110</v>
      </c>
      <c r="C51" t="s">
        <v>33</v>
      </c>
      <c r="D51" t="s">
        <v>31</v>
      </c>
    </row>
    <row r="52" spans="1:4" x14ac:dyDescent="0.25">
      <c r="A52" t="s">
        <v>156</v>
      </c>
      <c r="C52" t="s">
        <v>33</v>
      </c>
      <c r="D52" t="s">
        <v>31</v>
      </c>
    </row>
    <row r="53" spans="1:4" x14ac:dyDescent="0.25">
      <c r="A53" t="s">
        <v>175</v>
      </c>
      <c r="C53" t="s">
        <v>33</v>
      </c>
      <c r="D53" t="s">
        <v>31</v>
      </c>
    </row>
    <row r="54" spans="1:4" x14ac:dyDescent="0.25">
      <c r="A54" t="s">
        <v>178</v>
      </c>
      <c r="C54" t="s">
        <v>33</v>
      </c>
      <c r="D54" t="s">
        <v>31</v>
      </c>
    </row>
    <row r="55" spans="1:4" x14ac:dyDescent="0.25">
      <c r="A55" t="s">
        <v>207</v>
      </c>
      <c r="C55" t="s">
        <v>33</v>
      </c>
      <c r="D55" t="s">
        <v>31</v>
      </c>
    </row>
    <row r="56" spans="1:4" x14ac:dyDescent="0.25">
      <c r="A56" t="s">
        <v>97</v>
      </c>
      <c r="C56" t="s">
        <v>99</v>
      </c>
      <c r="D56" t="s">
        <v>31</v>
      </c>
    </row>
    <row r="57" spans="1:4" x14ac:dyDescent="0.25">
      <c r="A57" t="s">
        <v>230</v>
      </c>
      <c r="C57" t="s">
        <v>99</v>
      </c>
      <c r="D57" t="s">
        <v>31</v>
      </c>
    </row>
    <row r="58" spans="1:4" x14ac:dyDescent="0.25">
      <c r="A58" t="s">
        <v>199</v>
      </c>
      <c r="C58" t="s">
        <v>201</v>
      </c>
      <c r="D58" t="s">
        <v>31</v>
      </c>
    </row>
    <row r="59" spans="1:4" x14ac:dyDescent="0.25">
      <c r="A59" t="s">
        <v>215</v>
      </c>
      <c r="C59" t="s">
        <v>191</v>
      </c>
      <c r="D59" t="s">
        <v>31</v>
      </c>
    </row>
    <row r="60" spans="1:4" x14ac:dyDescent="0.25">
      <c r="A60" t="s">
        <v>228</v>
      </c>
      <c r="D60" t="s">
        <v>31</v>
      </c>
    </row>
    <row r="61" spans="1:4" x14ac:dyDescent="0.25">
      <c r="A61" t="s">
        <v>424</v>
      </c>
      <c r="B61" t="s">
        <v>107</v>
      </c>
      <c r="C61" t="s">
        <v>425</v>
      </c>
      <c r="D61" t="s">
        <v>80</v>
      </c>
    </row>
    <row r="62" spans="1:4" x14ac:dyDescent="0.25">
      <c r="A62" t="s">
        <v>71</v>
      </c>
      <c r="D62" t="s">
        <v>15</v>
      </c>
    </row>
    <row r="63" spans="1:4" x14ac:dyDescent="0.25">
      <c r="A63" t="s">
        <v>105</v>
      </c>
      <c r="B63" t="s">
        <v>107</v>
      </c>
      <c r="C63" t="s">
        <v>108</v>
      </c>
      <c r="D63" t="s">
        <v>23</v>
      </c>
    </row>
    <row r="64" spans="1:4" x14ac:dyDescent="0.25">
      <c r="A64" t="s">
        <v>205</v>
      </c>
      <c r="B64" t="s">
        <v>142</v>
      </c>
      <c r="C64" t="s">
        <v>27</v>
      </c>
      <c r="D64" t="s">
        <v>23</v>
      </c>
    </row>
    <row r="65" spans="1:4" x14ac:dyDescent="0.25">
      <c r="A65" t="s">
        <v>242</v>
      </c>
      <c r="B65" t="s">
        <v>107</v>
      </c>
      <c r="C65" t="s">
        <v>27</v>
      </c>
      <c r="D65" t="s">
        <v>23</v>
      </c>
    </row>
    <row r="66" spans="1:4" x14ac:dyDescent="0.25">
      <c r="A66" t="s">
        <v>140</v>
      </c>
      <c r="B66" t="s">
        <v>142</v>
      </c>
      <c r="C66" t="s">
        <v>140</v>
      </c>
      <c r="D66" t="s">
        <v>80</v>
      </c>
    </row>
    <row r="67" spans="1:4" x14ac:dyDescent="0.25">
      <c r="A67" t="s">
        <v>251</v>
      </c>
      <c r="B67" t="s">
        <v>142</v>
      </c>
      <c r="C67" t="s">
        <v>74</v>
      </c>
      <c r="D67" t="s">
        <v>23</v>
      </c>
    </row>
    <row r="68" spans="1:4" x14ac:dyDescent="0.25">
      <c r="A68" t="s">
        <v>249</v>
      </c>
      <c r="B68" t="s">
        <v>142</v>
      </c>
      <c r="C68" t="s">
        <v>238</v>
      </c>
      <c r="D68" t="s">
        <v>23</v>
      </c>
    </row>
    <row r="69" spans="1:4" x14ac:dyDescent="0.25">
      <c r="A69" t="s">
        <v>234</v>
      </c>
      <c r="B69" t="s">
        <v>107</v>
      </c>
      <c r="C69" t="s">
        <v>27</v>
      </c>
      <c r="D69" t="s">
        <v>23</v>
      </c>
    </row>
    <row r="70" spans="1:4" x14ac:dyDescent="0.25">
      <c r="A70" t="s">
        <v>73</v>
      </c>
      <c r="B70" t="s">
        <v>26</v>
      </c>
      <c r="C70" t="s">
        <v>74</v>
      </c>
      <c r="D70" t="s">
        <v>23</v>
      </c>
    </row>
    <row r="71" spans="1:4" x14ac:dyDescent="0.25">
      <c r="A71" t="s">
        <v>190</v>
      </c>
      <c r="C71" t="s">
        <v>191</v>
      </c>
      <c r="D71" t="s">
        <v>31</v>
      </c>
    </row>
    <row r="72" spans="1:4" x14ac:dyDescent="0.25">
      <c r="A72" t="s">
        <v>165</v>
      </c>
      <c r="D72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8A1B9-2DFE-4CB9-932B-BF4909105E3B}">
  <sheetPr>
    <pageSetUpPr fitToPage="1"/>
  </sheetPr>
  <dimension ref="A1:L46"/>
  <sheetViews>
    <sheetView zoomScale="115" zoomScaleNormal="115" workbookViewId="0">
      <selection activeCell="L3" sqref="L3"/>
    </sheetView>
  </sheetViews>
  <sheetFormatPr defaultRowHeight="15" x14ac:dyDescent="0.25"/>
  <cols>
    <col min="1" max="1" width="25.7109375" bestFit="1" customWidth="1"/>
    <col min="2" max="2" width="9.7109375" bestFit="1" customWidth="1"/>
    <col min="3" max="3" width="10.140625" bestFit="1" customWidth="1"/>
    <col min="4" max="4" width="8.140625" bestFit="1" customWidth="1"/>
    <col min="5" max="5" width="7.7109375" bestFit="1" customWidth="1"/>
    <col min="6" max="6" width="11.7109375" bestFit="1" customWidth="1"/>
    <col min="7" max="7" width="9.7109375" bestFit="1" customWidth="1"/>
    <col min="8" max="8" width="15.28515625" bestFit="1" customWidth="1"/>
    <col min="11" max="11" width="36.42578125" style="1" customWidth="1"/>
  </cols>
  <sheetData>
    <row r="1" spans="1:12" ht="24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</row>
    <row r="2" spans="1:12" ht="36.75" x14ac:dyDescent="0.25">
      <c r="A2" t="s">
        <v>426</v>
      </c>
      <c r="C2" t="s">
        <v>23</v>
      </c>
      <c r="D2" t="s">
        <v>24</v>
      </c>
      <c r="E2" t="s">
        <v>243</v>
      </c>
      <c r="F2">
        <v>3</v>
      </c>
      <c r="G2" t="s">
        <v>107</v>
      </c>
      <c r="H2" t="s">
        <v>282</v>
      </c>
      <c r="I2">
        <v>6</v>
      </c>
      <c r="J2">
        <v>10</v>
      </c>
      <c r="K2" s="1" t="s">
        <v>427</v>
      </c>
      <c r="L2" t="s">
        <v>35</v>
      </c>
    </row>
    <row r="45" ht="15" customHeight="1" x14ac:dyDescent="0.25"/>
    <row r="46" ht="15" customHeight="1" x14ac:dyDescent="0.25"/>
  </sheetData>
  <printOptions gridLines="1"/>
  <pageMargins left="0.7" right="0.7" top="0.75" bottom="0.75" header="0.3" footer="0.3"/>
  <pageSetup fitToHeight="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EE421-A9EF-4A9D-9968-90AE67C938D6}">
  <dimension ref="A1:H17"/>
  <sheetViews>
    <sheetView zoomScale="130" zoomScaleNormal="130" workbookViewId="0">
      <selection activeCell="B3" sqref="A3:B17"/>
    </sheetView>
  </sheetViews>
  <sheetFormatPr defaultRowHeight="15" x14ac:dyDescent="0.25"/>
  <cols>
    <col min="1" max="1" width="24.85546875" bestFit="1" customWidth="1"/>
    <col min="2" max="2" width="11.140625" bestFit="1" customWidth="1"/>
    <col min="3" max="3" width="24.28515625" bestFit="1" customWidth="1"/>
    <col min="4" max="4" width="11.140625" bestFit="1" customWidth="1"/>
  </cols>
  <sheetData>
    <row r="1" spans="1:8" ht="26.25" customHeight="1" x14ac:dyDescent="0.4">
      <c r="A1" s="10" t="s">
        <v>428</v>
      </c>
      <c r="B1" s="10"/>
      <c r="C1" s="10" t="s">
        <v>429</v>
      </c>
      <c r="D1" s="10"/>
    </row>
    <row r="2" spans="1:8" ht="26.25" x14ac:dyDescent="0.4">
      <c r="A2" s="4" t="s">
        <v>430</v>
      </c>
      <c r="B2" s="4" t="s">
        <v>431</v>
      </c>
      <c r="C2" s="4" t="s">
        <v>430</v>
      </c>
      <c r="D2" s="4" t="s">
        <v>431</v>
      </c>
    </row>
    <row r="3" spans="1:8" x14ac:dyDescent="0.25">
      <c r="A3" t="s">
        <v>116</v>
      </c>
      <c r="B3">
        <v>1</v>
      </c>
      <c r="C3" t="s">
        <v>195</v>
      </c>
      <c r="D3">
        <v>1</v>
      </c>
      <c r="F3">
        <f>SUM(B3:B19)</f>
        <v>40</v>
      </c>
      <c r="H3" t="s">
        <v>49</v>
      </c>
    </row>
    <row r="4" spans="1:8" x14ac:dyDescent="0.25">
      <c r="A4" t="s">
        <v>93</v>
      </c>
      <c r="B4">
        <v>1</v>
      </c>
      <c r="C4" t="s">
        <v>217</v>
      </c>
      <c r="D4">
        <v>1</v>
      </c>
      <c r="F4">
        <f>SUM(D3:D19)</f>
        <v>40</v>
      </c>
      <c r="H4" t="s">
        <v>52</v>
      </c>
    </row>
    <row r="5" spans="1:8" x14ac:dyDescent="0.25">
      <c r="A5" t="s">
        <v>209</v>
      </c>
      <c r="B5">
        <v>2</v>
      </c>
      <c r="C5" t="s">
        <v>228</v>
      </c>
      <c r="D5">
        <v>2</v>
      </c>
      <c r="H5" t="s">
        <v>61</v>
      </c>
    </row>
    <row r="6" spans="1:8" x14ac:dyDescent="0.25">
      <c r="A6" t="s">
        <v>211</v>
      </c>
      <c r="B6">
        <v>3</v>
      </c>
      <c r="C6" t="s">
        <v>432</v>
      </c>
      <c r="D6">
        <v>3</v>
      </c>
      <c r="H6" t="s">
        <v>93</v>
      </c>
    </row>
    <row r="7" spans="1:8" x14ac:dyDescent="0.25">
      <c r="A7" t="s">
        <v>125</v>
      </c>
      <c r="B7">
        <v>3</v>
      </c>
      <c r="C7" t="s">
        <v>433</v>
      </c>
      <c r="D7">
        <v>3</v>
      </c>
      <c r="H7" t="s">
        <v>426</v>
      </c>
    </row>
    <row r="8" spans="1:8" x14ac:dyDescent="0.25">
      <c r="A8" t="s">
        <v>120</v>
      </c>
      <c r="B8">
        <v>3</v>
      </c>
      <c r="C8" t="s">
        <v>110</v>
      </c>
      <c r="D8">
        <v>3</v>
      </c>
      <c r="H8" t="s">
        <v>116</v>
      </c>
    </row>
    <row r="9" spans="1:8" x14ac:dyDescent="0.25">
      <c r="A9" t="s">
        <v>61</v>
      </c>
      <c r="B9">
        <v>3</v>
      </c>
      <c r="C9" t="s">
        <v>171</v>
      </c>
      <c r="D9">
        <v>3</v>
      </c>
      <c r="H9" t="s">
        <v>120</v>
      </c>
    </row>
    <row r="10" spans="1:8" x14ac:dyDescent="0.25">
      <c r="A10" t="s">
        <v>190</v>
      </c>
      <c r="B10">
        <v>3</v>
      </c>
      <c r="C10" t="s">
        <v>154</v>
      </c>
      <c r="D10">
        <v>3</v>
      </c>
      <c r="H10" t="s">
        <v>125</v>
      </c>
    </row>
    <row r="11" spans="1:8" x14ac:dyDescent="0.25">
      <c r="A11" t="s">
        <v>136</v>
      </c>
      <c r="B11">
        <v>3</v>
      </c>
      <c r="C11" t="s">
        <v>159</v>
      </c>
      <c r="D11">
        <v>3</v>
      </c>
      <c r="H11" t="s">
        <v>136</v>
      </c>
    </row>
    <row r="12" spans="1:8" x14ac:dyDescent="0.25">
      <c r="A12" t="s">
        <v>49</v>
      </c>
      <c r="B12">
        <v>3</v>
      </c>
      <c r="C12" t="s">
        <v>41</v>
      </c>
      <c r="D12">
        <v>3</v>
      </c>
      <c r="H12" t="s">
        <v>184</v>
      </c>
    </row>
    <row r="13" spans="1:8" x14ac:dyDescent="0.25">
      <c r="A13" t="s">
        <v>203</v>
      </c>
      <c r="B13">
        <v>3</v>
      </c>
      <c r="C13" t="s">
        <v>49</v>
      </c>
      <c r="D13">
        <v>3</v>
      </c>
      <c r="H13" t="s">
        <v>190</v>
      </c>
    </row>
    <row r="14" spans="1:8" x14ac:dyDescent="0.25">
      <c r="A14" t="s">
        <v>184</v>
      </c>
      <c r="B14">
        <v>3</v>
      </c>
      <c r="C14" t="s">
        <v>156</v>
      </c>
      <c r="D14">
        <v>3</v>
      </c>
      <c r="H14" t="s">
        <v>203</v>
      </c>
    </row>
    <row r="15" spans="1:8" x14ac:dyDescent="0.25">
      <c r="A15" t="s">
        <v>233</v>
      </c>
      <c r="B15">
        <v>3</v>
      </c>
      <c r="C15" t="s">
        <v>188</v>
      </c>
      <c r="D15">
        <v>3</v>
      </c>
      <c r="H15" t="s">
        <v>209</v>
      </c>
    </row>
    <row r="16" spans="1:8" x14ac:dyDescent="0.25">
      <c r="A16" t="s">
        <v>426</v>
      </c>
      <c r="B16">
        <v>3</v>
      </c>
      <c r="C16" t="s">
        <v>113</v>
      </c>
      <c r="D16">
        <v>3</v>
      </c>
      <c r="H16" t="s">
        <v>211</v>
      </c>
    </row>
    <row r="17" spans="1:8" x14ac:dyDescent="0.25">
      <c r="A17" t="s">
        <v>52</v>
      </c>
      <c r="B17">
        <v>3</v>
      </c>
      <c r="C17" t="s">
        <v>102</v>
      </c>
      <c r="D17">
        <v>3</v>
      </c>
      <c r="H17" t="s">
        <v>233</v>
      </c>
    </row>
  </sheetData>
  <sortState xmlns:xlrd2="http://schemas.microsoft.com/office/spreadsheetml/2017/richdata2" ref="H3:H17">
    <sortCondition ref="H3:H17"/>
  </sortState>
  <mergeCells count="2">
    <mergeCell ref="A1:B1"/>
    <mergeCell ref="C1:D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1F373BE6E33547A0D98FDEC4389D85" ma:contentTypeVersion="5" ma:contentTypeDescription="Create a new document." ma:contentTypeScope="" ma:versionID="5da69aaac1bc90c6e03875f228cbb19b">
  <xsd:schema xmlns:xsd="http://www.w3.org/2001/XMLSchema" xmlns:xs="http://www.w3.org/2001/XMLSchema" xmlns:p="http://schemas.microsoft.com/office/2006/metadata/properties" xmlns:ns3="f5235b4c-d799-48fb-911b-9341dfbcb198" targetNamespace="http://schemas.microsoft.com/office/2006/metadata/properties" ma:root="true" ma:fieldsID="2d46185ef74ce7664dbfad5565d23765" ns3:_="">
    <xsd:import namespace="f5235b4c-d799-48fb-911b-9341dfbcb19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235b4c-d799-48fb-911b-9341dfbcb19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5235b4c-d799-48fb-911b-9341dfbcb19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B17DB05-DAA1-4A80-B966-AED12F9FCF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235b4c-d799-48fb-911b-9341dfbcb1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2853C30-6322-4EA0-9233-C02855FA666C}">
  <ds:schemaRefs>
    <ds:schemaRef ds:uri="http://schemas.microsoft.com/office/2006/metadata/properties"/>
    <ds:schemaRef ds:uri="http://schemas.microsoft.com/office/infopath/2007/PartnerControls"/>
    <ds:schemaRef ds:uri="f5235b4c-d799-48fb-911b-9341dfbcb198"/>
  </ds:schemaRefs>
</ds:datastoreItem>
</file>

<file path=customXml/itemProps3.xml><?xml version="1.0" encoding="utf-8"?>
<ds:datastoreItem xmlns:ds="http://schemas.openxmlformats.org/officeDocument/2006/customXml" ds:itemID="{1A915AD6-87DB-4A49-8A2C-415A966F3AD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Set1 - Alpha</vt:lpstr>
      <vt:lpstr>Set 2</vt:lpstr>
      <vt:lpstr>Sheet1</vt:lpstr>
      <vt:lpstr>Extended Set List</vt:lpstr>
      <vt:lpstr>PreconLists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Levi Carr</dc:creator>
  <cp:keywords/>
  <dc:description/>
  <cp:lastModifiedBy>Levi Carr</cp:lastModifiedBy>
  <cp:revision/>
  <dcterms:created xsi:type="dcterms:W3CDTF">2026-02-09T08:10:28Z</dcterms:created>
  <dcterms:modified xsi:type="dcterms:W3CDTF">2026-03-14T03:56:49Z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0x0101001E1F373BE6E33547A0D98FDEC4389D85</vt:lpwstr>
  </property>
</Properties>
</file>